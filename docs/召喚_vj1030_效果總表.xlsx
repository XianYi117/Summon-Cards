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啟動效果" sheetId="1" state="visible" r:id="rId3"/>
    <sheet name="獻祭效果" sheetId="2" state="visible" r:id="rId4"/>
    <sheet name="卡表108" sheetId="3" state="visible" r:id="rId5"/>
  </sheets>
  <definedNames>
    <definedName function="false" hidden="true" localSheetId="2" name="_xlnm._FilterDatabase" vbProcedure="false">卡表108!$A$1:$E$109</definedName>
    <definedName function="false" hidden="true" localSheetId="0" name="_xlnm._FilterDatabase" vbProcedure="false">啟動效果!$A$1:$I$49</definedName>
    <definedName function="false" hidden="true" localSheetId="1" name="_xlnm._FilterDatabase" vbProcedure="false">獻祭效果!$A$1:$I$34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<sst xmlns="http://schemas.openxmlformats.org/spreadsheetml/2006/main" count="972" uniqueCount="505">
  <si>
    <t xml:space="preserve">效果編號</t>
  </si>
  <si>
    <t xml:space="preserve">分類</t>
  </si>
  <si>
    <t xml:space="preserve">效果文字</t>
  </si>
  <si>
    <t xml:space="preserve">使用張數</t>
  </si>
  <si>
    <t xml:space="preserve">火</t>
  </si>
  <si>
    <t xml:space="preserve">水</t>
  </si>
  <si>
    <t xml:space="preserve">草</t>
  </si>
  <si>
    <t xml:space="preserve">使用卡牌</t>
  </si>
  <si>
    <t xml:space="preserve">種族</t>
  </si>
  <si>
    <t xml:space="preserve">A01</t>
  </si>
  <si>
    <t xml:space="preserve">屬性剋制</t>
  </si>
  <si>
    <r>
      <rPr>
        <sz val="11"/>
        <rFont val="Noto Sans CJK SC"/>
        <family val="2"/>
      </rPr>
      <t xml:space="preserve">屬性剋制成功時戰力 </t>
    </r>
    <r>
      <rPr>
        <sz val="11"/>
        <rFont val="Microsoft JhengHei"/>
        <family val="0"/>
        <charset val="1"/>
      </rPr>
      <t xml:space="preserve">+2</t>
    </r>
  </si>
  <si>
    <r>
      <rPr>
        <sz val="11"/>
        <rFont val="Microsoft JhengHei"/>
        <family val="0"/>
        <charset val="1"/>
      </rPr>
      <t xml:space="preserve">F03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W03</t>
    </r>
  </si>
  <si>
    <t xml:space="preserve">狐、仙、花、精、樹、魚</t>
  </si>
  <si>
    <t xml:space="preserve">A02</t>
  </si>
  <si>
    <t xml:space="preserve">屬性判定由最左一張決定</t>
  </si>
  <si>
    <r>
      <rPr>
        <sz val="11"/>
        <rFont val="Microsoft JhengHei"/>
        <family val="0"/>
        <charset val="1"/>
      </rPr>
      <t xml:space="preserve">F04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W27</t>
    </r>
  </si>
  <si>
    <t xml:space="preserve">魔、靈、蛇</t>
  </si>
  <si>
    <t xml:space="preserve">A03</t>
  </si>
  <si>
    <t xml:space="preserve">屬性剋制成功時，收回一張至手牌</t>
  </si>
  <si>
    <r>
      <rPr>
        <sz val="11"/>
        <rFont val="Microsoft JhengHei"/>
        <family val="0"/>
        <charset val="1"/>
      </rPr>
      <t xml:space="preserve">F01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G02</t>
    </r>
  </si>
  <si>
    <t xml:space="preserve">魔、蟲</t>
  </si>
  <si>
    <t xml:space="preserve">A04</t>
  </si>
  <si>
    <r>
      <rPr>
        <sz val="11"/>
        <rFont val="Noto Sans CJK SC"/>
        <family val="2"/>
      </rPr>
      <t xml:space="preserve">屬性被對手剋制時對手戰力 </t>
    </r>
    <r>
      <rPr>
        <sz val="11"/>
        <rFont val="Microsoft JhengHei"/>
        <family val="0"/>
        <charset val="1"/>
      </rPr>
      <t xml:space="preserve">-1</t>
    </r>
  </si>
  <si>
    <r>
      <rPr>
        <sz val="11"/>
        <rFont val="Microsoft JhengHei"/>
        <family val="0"/>
        <charset val="1"/>
      </rPr>
      <t xml:space="preserve">F02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W02</t>
    </r>
  </si>
  <si>
    <t xml:space="preserve">鳥、人</t>
  </si>
  <si>
    <t xml:space="preserve">A05</t>
  </si>
  <si>
    <t xml:space="preserve">屬性被對手剋制時對手隨機棄一張手牌</t>
  </si>
  <si>
    <r>
      <rPr>
        <sz val="11"/>
        <rFont val="Microsoft JhengHei"/>
        <family val="0"/>
        <charset val="1"/>
      </rPr>
      <t xml:space="preserve">G01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W01</t>
    </r>
  </si>
  <si>
    <t xml:space="preserve">蟲、龜</t>
  </si>
  <si>
    <t xml:space="preserve">A06</t>
  </si>
  <si>
    <t xml:space="preserve">牌型／核心</t>
  </si>
  <si>
    <r>
      <rPr>
        <sz val="11"/>
        <rFont val="Noto Sans CJK SC"/>
        <family val="2"/>
      </rPr>
      <t xml:space="preserve">雜色（</t>
    </r>
    <r>
      <rPr>
        <sz val="11"/>
        <rFont val="Microsoft JhengHei"/>
        <family val="0"/>
        <charset val="1"/>
      </rPr>
      <t xml:space="preserve">AB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ABC</t>
    </r>
    <r>
      <rPr>
        <sz val="11"/>
        <rFont val="Noto Sans CJK SC"/>
        <family val="2"/>
      </rPr>
      <t xml:space="preserve">）：戰力 </t>
    </r>
    <r>
      <rPr>
        <sz val="11"/>
        <rFont val="Microsoft JhengHei"/>
        <family val="0"/>
        <charset val="1"/>
      </rPr>
      <t xml:space="preserve">+2</t>
    </r>
  </si>
  <si>
    <r>
      <rPr>
        <sz val="11"/>
        <rFont val="Microsoft JhengHei"/>
        <family val="0"/>
        <charset val="1"/>
      </rPr>
      <t xml:space="preserve">F07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W07</t>
    </r>
  </si>
  <si>
    <t xml:space="preserve">鬼、精、鹿、龜、魚</t>
  </si>
  <si>
    <t xml:space="preserve">A07</t>
  </si>
  <si>
    <r>
      <rPr>
        <sz val="11"/>
        <rFont val="Noto Sans CJK SC"/>
        <family val="2"/>
      </rPr>
      <t xml:space="preserve">牌型有 </t>
    </r>
    <r>
      <rPr>
        <sz val="11"/>
        <rFont val="Microsoft JhengHei"/>
        <family val="0"/>
        <charset val="1"/>
      </rPr>
      <t xml:space="preserve">AA</t>
    </r>
    <r>
      <rPr>
        <sz val="11"/>
        <rFont val="Noto Sans CJK SC"/>
        <family val="2"/>
      </rPr>
      <t xml:space="preserve">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</si>
  <si>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F08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W10</t>
    </r>
  </si>
  <si>
    <t xml:space="preserve">鳥、蟲、樹、人、蛇</t>
  </si>
  <si>
    <t xml:space="preserve">A08</t>
  </si>
  <si>
    <r>
      <rPr>
        <sz val="11"/>
        <rFont val="Microsoft JhengHei"/>
        <family val="0"/>
        <charset val="1"/>
      </rPr>
      <t xml:space="preserve">AABB</t>
    </r>
    <r>
      <rPr>
        <sz val="11"/>
        <rFont val="Noto Sans CJK SC"/>
        <family val="2"/>
      </rPr>
      <t xml:space="preserve">：戰力 </t>
    </r>
    <r>
      <rPr>
        <sz val="11"/>
        <rFont val="Microsoft JhengHei"/>
        <family val="0"/>
        <charset val="1"/>
      </rPr>
      <t xml:space="preserve">+2</t>
    </r>
  </si>
  <si>
    <r>
      <rPr>
        <sz val="11"/>
        <rFont val="Microsoft JhengHei"/>
        <family val="0"/>
        <charset val="1"/>
      </rPr>
      <t xml:space="preserve">F06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G06</t>
    </r>
  </si>
  <si>
    <t xml:space="preserve">獸、花</t>
  </si>
  <si>
    <t xml:space="preserve">A09</t>
  </si>
  <si>
    <r>
      <rPr>
        <sz val="11"/>
        <rFont val="Noto Sans CJK SC"/>
        <family val="2"/>
      </rPr>
      <t xml:space="preserve">無法成立牌型時：將最左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張啟動為石像</t>
    </r>
  </si>
  <si>
    <r>
      <rPr>
        <sz val="11"/>
        <rFont val="Microsoft JhengHei"/>
        <family val="0"/>
        <charset val="1"/>
      </rPr>
      <t xml:space="preserve">F09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W09</t>
    </r>
  </si>
  <si>
    <t xml:space="preserve">獸、蛇</t>
  </si>
  <si>
    <t xml:space="preserve">A10</t>
  </si>
  <si>
    <r>
      <rPr>
        <sz val="11"/>
        <rFont val="Microsoft JhengHei"/>
        <family val="0"/>
        <charset val="1"/>
      </rPr>
      <t xml:space="preserve">AAA</t>
    </r>
    <r>
      <rPr>
        <sz val="11"/>
        <rFont val="Noto Sans CJK SC"/>
        <family val="2"/>
      </rPr>
      <t xml:space="preserve">：戰力 </t>
    </r>
    <r>
      <rPr>
        <sz val="11"/>
        <rFont val="Microsoft JhengHei"/>
        <family val="0"/>
        <charset val="1"/>
      </rPr>
      <t xml:space="preserve">+2</t>
    </r>
  </si>
  <si>
    <r>
      <rPr>
        <sz val="11"/>
        <rFont val="Microsoft JhengHei"/>
        <family val="0"/>
        <charset val="1"/>
      </rPr>
      <t xml:space="preserve">F32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G32</t>
    </r>
  </si>
  <si>
    <t xml:space="preserve">魔、鹿</t>
  </si>
  <si>
    <t xml:space="preserve">A11</t>
  </si>
  <si>
    <r>
      <rPr>
        <sz val="11"/>
        <rFont val="Microsoft JhengHei"/>
        <family val="0"/>
        <charset val="1"/>
      </rPr>
      <t xml:space="preserve">AAAA</t>
    </r>
    <r>
      <rPr>
        <sz val="11"/>
        <rFont val="Noto Sans CJK SC"/>
        <family val="2"/>
      </rPr>
      <t xml:space="preserve">：戰力 </t>
    </r>
    <r>
      <rPr>
        <sz val="11"/>
        <rFont val="Microsoft JhengHei"/>
        <family val="0"/>
        <charset val="1"/>
      </rPr>
      <t xml:space="preserve">+3</t>
    </r>
  </si>
  <si>
    <r>
      <rPr>
        <sz val="11"/>
        <rFont val="Microsoft JhengHei"/>
        <family val="0"/>
        <charset val="1"/>
      </rPr>
      <t xml:space="preserve">F33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G33</t>
    </r>
  </si>
  <si>
    <t xml:space="preserve">鳥、樹</t>
  </si>
  <si>
    <t xml:space="preserve">A12</t>
  </si>
  <si>
    <r>
      <rPr>
        <sz val="11"/>
        <rFont val="Noto Sans CJK SC"/>
        <family val="2"/>
      </rPr>
      <t xml:space="preserve">牌型有 </t>
    </r>
    <r>
      <rPr>
        <sz val="11"/>
        <rFont val="Microsoft JhengHei"/>
        <family val="0"/>
        <charset val="1"/>
      </rPr>
      <t xml:space="preserve">AAA</t>
    </r>
    <r>
      <rPr>
        <sz val="11"/>
        <rFont val="Noto Sans CJK SC"/>
        <family val="2"/>
      </rPr>
      <t xml:space="preserve">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</si>
  <si>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F34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W33</t>
    </r>
  </si>
  <si>
    <t xml:space="preserve">魔、妖</t>
  </si>
  <si>
    <t xml:space="preserve">A13</t>
  </si>
  <si>
    <r>
      <rPr>
        <sz val="11"/>
        <rFont val="Noto Sans CJK SC"/>
        <family val="2"/>
      </rPr>
      <t xml:space="preserve">核心為火：戰力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</si>
  <si>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F35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F36</t>
    </r>
  </si>
  <si>
    <t xml:space="preserve">鳥、獸</t>
  </si>
  <si>
    <t xml:space="preserve">A14</t>
  </si>
  <si>
    <r>
      <rPr>
        <sz val="11"/>
        <rFont val="Noto Sans CJK SC"/>
        <family val="2"/>
      </rPr>
      <t xml:space="preserve">核心為草：戰力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</si>
  <si>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G34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G35</t>
    </r>
  </si>
  <si>
    <t xml:space="preserve">花、鹿</t>
  </si>
  <si>
    <t xml:space="preserve">A15</t>
  </si>
  <si>
    <r>
      <rPr>
        <sz val="11"/>
        <rFont val="Noto Sans CJK SC"/>
        <family val="2"/>
      </rPr>
      <t xml:space="preserve">出戰牌全同屬性：戰力 </t>
    </r>
    <r>
      <rPr>
        <sz val="11"/>
        <rFont val="Microsoft JhengHei"/>
        <family val="0"/>
        <charset val="1"/>
      </rPr>
      <t xml:space="preserve">+2</t>
    </r>
  </si>
  <si>
    <r>
      <rPr>
        <sz val="11"/>
        <rFont val="Microsoft JhengHei"/>
        <family val="0"/>
        <charset val="1"/>
      </rPr>
      <t xml:space="preserve">G36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W36</t>
    </r>
  </si>
  <si>
    <t xml:space="preserve">A16</t>
  </si>
  <si>
    <r>
      <rPr>
        <sz val="11"/>
        <rFont val="Noto Sans CJK SC"/>
        <family val="2"/>
      </rPr>
      <t xml:space="preserve">核心為水：戰力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</si>
  <si>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W34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W35</t>
    </r>
  </si>
  <si>
    <t xml:space="preserve">人、靈</t>
  </si>
  <si>
    <t xml:space="preserve">A17</t>
  </si>
  <si>
    <r>
      <rPr>
        <sz val="11"/>
        <rFont val="Noto Sans CJK SC"/>
        <family val="2"/>
      </rPr>
      <t xml:space="preserve">所有牌型：戰力 </t>
    </r>
    <r>
      <rPr>
        <sz val="11"/>
        <rFont val="Microsoft JhengHei"/>
        <family val="0"/>
        <charset val="1"/>
      </rPr>
      <t xml:space="preserve">+1</t>
    </r>
  </si>
  <si>
    <t xml:space="preserve">W32</t>
  </si>
  <si>
    <t xml:space="preserve">魚</t>
  </si>
  <si>
    <t xml:space="preserve">A18</t>
  </si>
  <si>
    <t xml:space="preserve">石像數量</t>
  </si>
  <si>
    <r>
      <rPr>
        <sz val="11"/>
        <rFont val="Noto Sans CJK SC"/>
        <family val="2"/>
      </rPr>
      <t xml:space="preserve">對手直立石像比我方多：戰力 </t>
    </r>
    <r>
      <rPr>
        <sz val="11"/>
        <rFont val="Microsoft JhengHei"/>
        <family val="0"/>
        <charset val="1"/>
      </rPr>
      <t xml:space="preserve">+2</t>
    </r>
  </si>
  <si>
    <r>
      <rPr>
        <sz val="11"/>
        <rFont val="Microsoft JhengHei"/>
        <family val="0"/>
        <charset val="1"/>
      </rPr>
      <t xml:space="preserve">F21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F24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F30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W30</t>
    </r>
  </si>
  <si>
    <t xml:space="preserve">鳥、獸、鬼、仙、龜</t>
  </si>
  <si>
    <t xml:space="preserve">A19</t>
  </si>
  <si>
    <r>
      <rPr>
        <sz val="11"/>
        <rFont val="Noto Sans CJK SC"/>
        <family val="2"/>
      </rPr>
      <t xml:space="preserve">對手每有 </t>
    </r>
    <r>
      <rPr>
        <sz val="11"/>
        <rFont val="Microsoft JhengHei"/>
        <family val="0"/>
        <charset val="1"/>
      </rPr>
      <t xml:space="preserve">3 </t>
    </r>
    <r>
      <rPr>
        <sz val="11"/>
        <rFont val="Noto Sans CJK SC"/>
        <family val="2"/>
      </rPr>
      <t xml:space="preserve">座已獻祭石像：對手戰力 </t>
    </r>
    <r>
      <rPr>
        <sz val="11"/>
        <rFont val="Microsoft JhengHei"/>
        <family val="0"/>
        <charset val="1"/>
      </rPr>
      <t xml:space="preserve">-1</t>
    </r>
  </si>
  <si>
    <r>
      <rPr>
        <sz val="11"/>
        <rFont val="Microsoft JhengHei"/>
        <family val="0"/>
        <charset val="1"/>
      </rPr>
      <t xml:space="preserve">F13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W13</t>
    </r>
  </si>
  <si>
    <t xml:space="preserve">鬼、妖</t>
  </si>
  <si>
    <t xml:space="preserve">A20</t>
  </si>
  <si>
    <r>
      <rPr>
        <sz val="11"/>
        <rFont val="Noto Sans CJK SC"/>
        <family val="2"/>
      </rPr>
      <t xml:space="preserve">我方每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座直立火石像：戰力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</si>
  <si>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F22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F23</t>
    </r>
  </si>
  <si>
    <t xml:space="preserve">獸、龍</t>
  </si>
  <si>
    <t xml:space="preserve">A21</t>
  </si>
  <si>
    <r>
      <rPr>
        <sz val="11"/>
        <rFont val="Noto Sans CJK SC"/>
        <family val="2"/>
      </rPr>
      <t xml:space="preserve">我方每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座直立草石像：戰力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</si>
  <si>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G22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G23</t>
    </r>
  </si>
  <si>
    <t xml:space="preserve">蟲、鹿</t>
  </si>
  <si>
    <t xml:space="preserve">A22</t>
  </si>
  <si>
    <r>
      <rPr>
        <sz val="11"/>
        <rFont val="Noto Sans CJK SC"/>
        <family val="2"/>
      </rPr>
      <t xml:space="preserve">我方每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座直立水石像：戰力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</si>
  <si>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W22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W23</t>
    </r>
  </si>
  <si>
    <t xml:space="preserve">靈</t>
  </si>
  <si>
    <t xml:space="preserve">A23</t>
  </si>
  <si>
    <r>
      <rPr>
        <sz val="11"/>
        <rFont val="Noto Sans CJK SC"/>
        <family val="2"/>
      </rPr>
      <t xml:space="preserve">我方每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座已獻祭石像：所有牌型戰力 </t>
    </r>
    <r>
      <rPr>
        <sz val="11"/>
        <rFont val="Microsoft JhengHei"/>
        <family val="0"/>
        <charset val="1"/>
      </rPr>
      <t xml:space="preserve">+1</t>
    </r>
  </si>
  <si>
    <t xml:space="preserve">W20</t>
  </si>
  <si>
    <t xml:space="preserve">人</t>
  </si>
  <si>
    <t xml:space="preserve">A24</t>
  </si>
  <si>
    <t xml:space="preserve">石像事件觸發</t>
  </si>
  <si>
    <r>
      <rPr>
        <sz val="11"/>
        <rFont val="Noto Sans CJK SC"/>
        <family val="2"/>
      </rPr>
      <t xml:space="preserve">【我方】獻祭石像時：【多抽】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</si>
  <si>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F19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W18</t>
    </r>
  </si>
  <si>
    <t xml:space="preserve">鬼、仙、妖</t>
  </si>
  <si>
    <t xml:space="preserve">A25</t>
  </si>
  <si>
    <r>
      <rPr>
        <sz val="11"/>
        <rFont val="Noto Sans CJK SC"/>
        <family val="2"/>
      </rPr>
      <t xml:space="preserve">【對方】獻祭石像時：我方【多抽】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</si>
  <si>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G12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W12</t>
    </r>
  </si>
  <si>
    <t xml:space="preserve">樹、龜、妖</t>
  </si>
  <si>
    <t xml:space="preserve">A26</t>
  </si>
  <si>
    <r>
      <rPr>
        <sz val="11"/>
        <rFont val="Noto Sans CJK SC"/>
        <family val="2"/>
      </rPr>
      <t xml:space="preserve">【我方】本回合破壞對手石像：戰力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</si>
  <si>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F25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F26</t>
    </r>
  </si>
  <si>
    <t xml:space="preserve">A27</t>
  </si>
  <si>
    <r>
      <rPr>
        <sz val="11"/>
        <rFont val="Noto Sans CJK SC"/>
        <family val="2"/>
      </rPr>
      <t xml:space="preserve">【對方】石像被破壞時：【多抽】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</si>
  <si>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t xml:space="preserve">F27</t>
  </si>
  <si>
    <t xml:space="preserve">魔</t>
  </si>
  <si>
    <t xml:space="preserve">A28</t>
  </si>
  <si>
    <r>
      <rPr>
        <sz val="11"/>
        <rFont val="Noto Sans CJK SC"/>
        <family val="2"/>
      </rPr>
      <t xml:space="preserve">【我方】石像被破壞時：【多抽】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張</t>
    </r>
  </si>
  <si>
    <t xml:space="preserve">G21</t>
  </si>
  <si>
    <t xml:space="preserve">樹</t>
  </si>
  <si>
    <t xml:space="preserve">A29</t>
  </si>
  <si>
    <r>
      <rPr>
        <sz val="11"/>
        <rFont val="Noto Sans CJK SC"/>
        <family val="2"/>
      </rPr>
      <t xml:space="preserve">【雙方】任一石像被破壞時：【多抽】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</si>
  <si>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t xml:space="preserve">G24</t>
  </si>
  <si>
    <t xml:space="preserve">仙</t>
  </si>
  <si>
    <t xml:space="preserve">A30</t>
  </si>
  <si>
    <r>
      <rPr>
        <sz val="11"/>
        <rFont val="Noto Sans CJK SC"/>
        <family val="2"/>
      </rPr>
      <t xml:space="preserve">【我方】本回合有獻祭石像：戰力 </t>
    </r>
    <r>
      <rPr>
        <sz val="11"/>
        <rFont val="Microsoft JhengHei"/>
        <family val="0"/>
        <charset val="1"/>
      </rPr>
      <t xml:space="preserve">+1</t>
    </r>
  </si>
  <si>
    <t xml:space="preserve">W19</t>
  </si>
  <si>
    <t xml:space="preserve">龜</t>
  </si>
  <si>
    <t xml:space="preserve">A31</t>
  </si>
  <si>
    <r>
      <rPr>
        <sz val="11"/>
        <rFont val="Noto Sans CJK SC"/>
        <family val="2"/>
      </rPr>
      <t xml:space="preserve">【我方】石像被破壞時：從棄牌區取回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</si>
  <si>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t xml:space="preserve">W21</t>
  </si>
  <si>
    <t xml:space="preserve">A32</t>
  </si>
  <si>
    <t xml:space="preserve">戰況條件</t>
  </si>
  <si>
    <r>
      <rPr>
        <sz val="11"/>
        <rFont val="Noto Sans CJK SC"/>
        <family val="2"/>
      </rPr>
      <t xml:space="preserve">【補牌】：上回合平手時，【多抽】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</si>
  <si>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F31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W31</t>
    </r>
  </si>
  <si>
    <t xml:space="preserve">狐、花、魚、靈</t>
  </si>
  <si>
    <t xml:space="preserve">A33</t>
  </si>
  <si>
    <r>
      <rPr>
        <sz val="11"/>
        <rFont val="Noto Sans CJK SC"/>
        <family val="2"/>
      </rPr>
      <t xml:space="preserve">分數落後時：戰力 </t>
    </r>
    <r>
      <rPr>
        <sz val="11"/>
        <rFont val="Microsoft JhengHei"/>
        <family val="0"/>
        <charset val="1"/>
      </rPr>
      <t xml:space="preserve">+2</t>
    </r>
  </si>
  <si>
    <r>
      <rPr>
        <sz val="11"/>
        <rFont val="Microsoft JhengHei"/>
        <family val="0"/>
        <charset val="1"/>
      </rPr>
      <t xml:space="preserve">G28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W29</t>
    </r>
  </si>
  <si>
    <t xml:space="preserve">蟲、鹿、人</t>
  </si>
  <si>
    <t xml:space="preserve">A34</t>
  </si>
  <si>
    <r>
      <rPr>
        <sz val="11"/>
        <rFont val="Noto Sans CJK SC"/>
        <family val="2"/>
      </rPr>
      <t xml:space="preserve">【補牌】：上回合落敗時，【多抽】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</si>
  <si>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F28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F29</t>
    </r>
  </si>
  <si>
    <t xml:space="preserve">鳥、狐</t>
  </si>
  <si>
    <t xml:space="preserve">A35</t>
  </si>
  <si>
    <r>
      <rPr>
        <sz val="11"/>
        <rFont val="Noto Sans CJK SC"/>
        <family val="2"/>
      </rPr>
      <t xml:space="preserve">【補牌】：分數落後時，【多抽】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</si>
  <si>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G27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W28</t>
    </r>
  </si>
  <si>
    <t xml:space="preserve">精、妖</t>
  </si>
  <si>
    <t xml:space="preserve">A36</t>
  </si>
  <si>
    <r>
      <rPr>
        <sz val="11"/>
        <rFont val="Noto Sans CJK SC"/>
        <family val="2"/>
      </rPr>
      <t xml:space="preserve">上回合落敗時：戰力 </t>
    </r>
    <r>
      <rPr>
        <sz val="11"/>
        <rFont val="Microsoft JhengHei"/>
        <family val="0"/>
        <charset val="1"/>
      </rPr>
      <t xml:space="preserve">+1</t>
    </r>
  </si>
  <si>
    <r>
      <rPr>
        <sz val="11"/>
        <rFont val="Microsoft JhengHei"/>
        <family val="0"/>
        <charset val="1"/>
      </rPr>
      <t xml:space="preserve">G30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W25</t>
    </r>
  </si>
  <si>
    <t xml:space="preserve">精、龜</t>
  </si>
  <si>
    <t xml:space="preserve">A37</t>
  </si>
  <si>
    <t xml:space="preserve">干擾對手</t>
  </si>
  <si>
    <r>
      <rPr>
        <sz val="11"/>
        <rFont val="Noto Sans CJK SC"/>
        <family val="2"/>
      </rPr>
      <t xml:space="preserve">對手【多抽】時，少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張（每回合執行一次）</t>
    </r>
  </si>
  <si>
    <r>
      <rPr>
        <sz val="11"/>
        <rFont val="Microsoft JhengHei"/>
        <family val="0"/>
        <charset val="1"/>
      </rPr>
      <t xml:space="preserve">F10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F11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G10</t>
    </r>
  </si>
  <si>
    <t xml:space="preserve">鬼、龍、仙、樹</t>
  </si>
  <si>
    <t xml:space="preserve">A38</t>
  </si>
  <si>
    <r>
      <rPr>
        <sz val="11"/>
        <rFont val="Noto Sans CJK SC"/>
        <family val="2"/>
      </rPr>
      <t xml:space="preserve">對手戰力 </t>
    </r>
    <r>
      <rPr>
        <sz val="11"/>
        <rFont val="Microsoft JhengHei"/>
        <family val="0"/>
        <charset val="1"/>
      </rPr>
      <t xml:space="preserve">-1</t>
    </r>
  </si>
  <si>
    <t xml:space="preserve">F12</t>
  </si>
  <si>
    <t xml:space="preserve">鳥</t>
  </si>
  <si>
    <t xml:space="preserve">A39</t>
  </si>
  <si>
    <r>
      <rPr>
        <sz val="11"/>
        <rFont val="Noto Sans CJK SC"/>
        <family val="2"/>
      </rPr>
      <t xml:space="preserve">對手補牌上限 </t>
    </r>
    <r>
      <rPr>
        <sz val="11"/>
        <rFont val="Microsoft JhengHei"/>
        <family val="0"/>
        <charset val="1"/>
      </rPr>
      <t xml:space="preserve">-1</t>
    </r>
  </si>
  <si>
    <t xml:space="preserve">G11</t>
  </si>
  <si>
    <t xml:space="preserve">精</t>
  </si>
  <si>
    <t xml:space="preserve">A40</t>
  </si>
  <si>
    <t xml:space="preserve">補牌／抽牌</t>
  </si>
  <si>
    <r>
      <rPr>
        <sz val="11"/>
        <rFont val="Noto Sans CJK SC"/>
        <family val="2"/>
      </rPr>
      <t xml:space="preserve">【補牌】：【換牌】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張（棄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張手牌，再抽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張）</t>
    </r>
  </si>
  <si>
    <r>
      <rPr>
        <sz val="11"/>
        <rFont val="Microsoft JhengHei"/>
        <family val="0"/>
        <charset val="1"/>
      </rPr>
      <t xml:space="preserve">F16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W15</t>
    </r>
  </si>
  <si>
    <t xml:space="preserve">狐、精、鹿、蛇</t>
  </si>
  <si>
    <t xml:space="preserve">A41</t>
  </si>
  <si>
    <r>
      <rPr>
        <sz val="11"/>
        <rFont val="Noto Sans CJK SC"/>
        <family val="2"/>
      </rPr>
      <t xml:space="preserve">【補牌】：【多抽】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</si>
  <si>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F15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W14</t>
    </r>
  </si>
  <si>
    <t xml:space="preserve">獸、蟲、蛇</t>
  </si>
  <si>
    <t xml:space="preserve">A42</t>
  </si>
  <si>
    <r>
      <rPr>
        <sz val="11"/>
        <rFont val="Noto Sans CJK SC"/>
        <family val="2"/>
      </rPr>
      <t xml:space="preserve">【補牌】：看牌庫頂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張，放回牌庫頂或牌庫底</t>
    </r>
  </si>
  <si>
    <r>
      <rPr>
        <sz val="11"/>
        <rFont val="Microsoft JhengHei"/>
        <family val="0"/>
        <charset val="1"/>
      </rPr>
      <t xml:space="preserve">F18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W26</t>
    </r>
  </si>
  <si>
    <t xml:space="preserve">魔、魚</t>
  </si>
  <si>
    <t xml:space="preserve">A43</t>
  </si>
  <si>
    <r>
      <rPr>
        <sz val="11"/>
        <rFont val="Noto Sans CJK SC"/>
        <family val="2"/>
      </rPr>
      <t xml:space="preserve">【補牌】：從棄牌區隨機取回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</si>
  <si>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F17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W16</t>
    </r>
  </si>
  <si>
    <t xml:space="preserve">龍、妖</t>
  </si>
  <si>
    <t xml:space="preserve">A44</t>
  </si>
  <si>
    <t xml:space="preserve">整理階段</t>
  </si>
  <si>
    <r>
      <rPr>
        <sz val="11"/>
        <rFont val="Noto Sans CJK SC"/>
        <family val="2"/>
      </rPr>
      <t xml:space="preserve">【整理】：我方已獻祭石像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座洗回牌庫</t>
    </r>
  </si>
  <si>
    <r>
      <rPr>
        <sz val="11"/>
        <rFont val="Microsoft JhengHei"/>
        <family val="0"/>
        <charset val="1"/>
      </rPr>
      <t xml:space="preserve">F20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G19</t>
    </r>
  </si>
  <si>
    <t xml:space="preserve">龍、仙</t>
  </si>
  <si>
    <t xml:space="preserve">A45</t>
  </si>
  <si>
    <r>
      <rPr>
        <sz val="11"/>
        <rFont val="Noto Sans CJK SC"/>
        <family val="2"/>
      </rPr>
      <t xml:space="preserve">【整理】時：手牌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張放到牌庫底</t>
    </r>
  </si>
  <si>
    <t xml:space="preserve">F14</t>
  </si>
  <si>
    <t xml:space="preserve">A46</t>
  </si>
  <si>
    <r>
      <rPr>
        <sz val="11"/>
        <rFont val="Noto Sans CJK SC"/>
        <family val="2"/>
      </rPr>
      <t xml:space="preserve">【整理】：棄牌區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張放回牌庫底</t>
    </r>
  </si>
  <si>
    <t xml:space="preserve">G13</t>
  </si>
  <si>
    <t xml:space="preserve">花</t>
  </si>
  <si>
    <t xml:space="preserve">A47</t>
  </si>
  <si>
    <t xml:space="preserve">情報</t>
  </si>
  <si>
    <r>
      <rPr>
        <sz val="11"/>
        <rFont val="Noto Sans CJK SC"/>
        <family val="2"/>
      </rPr>
      <t xml:space="preserve">【出牌】前：看對手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張手牌</t>
    </r>
  </si>
  <si>
    <t xml:space="preserve">F05</t>
  </si>
  <si>
    <t xml:space="preserve">狐</t>
  </si>
  <si>
    <t xml:space="preserve">A48</t>
  </si>
  <si>
    <r>
      <rPr>
        <sz val="11"/>
        <rFont val="Noto Sans CJK SC"/>
        <family val="2"/>
      </rPr>
      <t xml:space="preserve">【翻牌】前：看對手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張出戰牌</t>
    </r>
  </si>
  <si>
    <t xml:space="preserve">W05</t>
  </si>
  <si>
    <t xml:space="preserve">合計</t>
  </si>
  <si>
    <r>
      <rPr>
        <i val="true"/>
        <sz val="11"/>
        <color rgb="FF666666"/>
        <rFont val="Noto Sans CJK SC"/>
        <family val="2"/>
      </rPr>
      <t xml:space="preserve">說明：「使用張數／火／水／草」由公式從「卡表</t>
    </r>
    <r>
      <rPr>
        <i val="true"/>
        <sz val="11"/>
        <color rgb="FF666666"/>
        <rFont val="Microsoft JhengHei"/>
        <family val="0"/>
        <charset val="1"/>
      </rPr>
      <t xml:space="preserve">108</t>
    </r>
    <r>
      <rPr>
        <i val="true"/>
        <sz val="11"/>
        <color rgb="FF666666"/>
        <rFont val="Noto Sans CJK SC"/>
        <family val="2"/>
      </rPr>
      <t xml:space="preserve">」工作表即時計算；「分類」是依效果文字初步歸類，可自行修改；「使用卡牌」「種族」為整理時的清單，卡表變動後需重新整理。</t>
    </r>
  </si>
  <si>
    <t xml:space="preserve">S01</t>
  </si>
  <si>
    <t xml:space="preserve">我方強化</t>
  </si>
  <si>
    <r>
      <rPr>
        <sz val="11"/>
        <rFont val="Noto Sans CJK SC"/>
        <family val="2"/>
      </rPr>
      <t xml:space="preserve">本回合戰力 </t>
    </r>
    <r>
      <rPr>
        <sz val="11"/>
        <rFont val="Microsoft JhengHei"/>
        <family val="0"/>
        <charset val="1"/>
      </rPr>
      <t xml:space="preserve">+1</t>
    </r>
    <r>
      <rPr>
        <sz val="11"/>
        <rFont val="Noto Sans CJK SC"/>
        <family val="2"/>
      </rPr>
      <t xml:space="preserve">，【多抽】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</si>
  <si>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F06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W16</t>
    </r>
  </si>
  <si>
    <t xml:space="preserve">獸、蟲、仙、靈、妖</t>
  </si>
  <si>
    <t xml:space="preserve">S02</t>
  </si>
  <si>
    <r>
      <rPr>
        <sz val="11"/>
        <rFont val="Noto Sans CJK SC"/>
        <family val="2"/>
      </rPr>
      <t xml:space="preserve">本回合戰力 </t>
    </r>
    <r>
      <rPr>
        <sz val="11"/>
        <rFont val="Microsoft JhengHei"/>
        <family val="0"/>
        <charset val="1"/>
      </rPr>
      <t xml:space="preserve">+2</t>
    </r>
  </si>
  <si>
    <r>
      <rPr>
        <sz val="11"/>
        <rFont val="Microsoft JhengHei"/>
        <family val="0"/>
        <charset val="1"/>
      </rPr>
      <t xml:space="preserve">F29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G30</t>
    </r>
  </si>
  <si>
    <t xml:space="preserve">狐、精</t>
  </si>
  <si>
    <t xml:space="preserve">S03</t>
  </si>
  <si>
    <r>
      <rPr>
        <sz val="11"/>
        <rFont val="Noto Sans CJK SC"/>
        <family val="2"/>
      </rPr>
      <t xml:space="preserve">本回合獲勝時：多得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分</t>
    </r>
  </si>
  <si>
    <r>
      <rPr>
        <sz val="11"/>
        <rFont val="Microsoft JhengHei"/>
        <family val="0"/>
        <charset val="1"/>
      </rPr>
      <t xml:space="preserve">G26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W19</t>
    </r>
  </si>
  <si>
    <t xml:space="preserve">鹿、樹、龜</t>
  </si>
  <si>
    <t xml:space="preserve">S04</t>
  </si>
  <si>
    <r>
      <rPr>
        <sz val="11"/>
        <rFont val="Noto Sans CJK SC"/>
        <family val="2"/>
      </rPr>
      <t xml:space="preserve">本回合我方剋制加成 </t>
    </r>
    <r>
      <rPr>
        <sz val="11"/>
        <rFont val="Microsoft JhengHei"/>
        <family val="0"/>
        <charset val="1"/>
      </rPr>
      <t xml:space="preserve">+2</t>
    </r>
  </si>
  <si>
    <r>
      <rPr>
        <sz val="11"/>
        <rFont val="Microsoft JhengHei"/>
        <family val="0"/>
        <charset val="1"/>
      </rPr>
      <t xml:space="preserve">F25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F35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W34</t>
    </r>
  </si>
  <si>
    <t xml:space="preserve">鳥、龍、仙、精、人、妖</t>
  </si>
  <si>
    <t xml:space="preserve">S05</t>
  </si>
  <si>
    <t xml:space="preserve">本回合不受剋制</t>
  </si>
  <si>
    <r>
      <rPr>
        <sz val="11"/>
        <rFont val="Microsoft JhengHei"/>
        <family val="0"/>
        <charset val="1"/>
      </rPr>
      <t xml:space="preserve">F02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F05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F08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G34</t>
    </r>
  </si>
  <si>
    <t xml:space="preserve">鳥、狐、蟲、鹿</t>
  </si>
  <si>
    <t xml:space="preserve">S06</t>
  </si>
  <si>
    <t xml:space="preserve">本回合我方核心屬性改為指定屬性（翻牌前宣告）</t>
  </si>
  <si>
    <r>
      <rPr>
        <sz val="11"/>
        <rFont val="Microsoft JhengHei"/>
        <family val="0"/>
        <charset val="1"/>
      </rPr>
      <t xml:space="preserve">F12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W36</t>
    </r>
  </si>
  <si>
    <t xml:space="preserve">鳥、龜、靈</t>
  </si>
  <si>
    <t xml:space="preserve">S07</t>
  </si>
  <si>
    <r>
      <rPr>
        <sz val="11"/>
        <rFont val="Noto Sans CJK SC"/>
        <family val="2"/>
      </rPr>
      <t xml:space="preserve">變換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張手牌或出戰牌的屬性（本回合有效）</t>
    </r>
  </si>
  <si>
    <r>
      <rPr>
        <sz val="11"/>
        <rFont val="Microsoft JhengHei"/>
        <family val="0"/>
        <charset val="1"/>
      </rPr>
      <t xml:space="preserve">F22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F26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G20</t>
    </r>
  </si>
  <si>
    <t xml:space="preserve">獸、蟲</t>
  </si>
  <si>
    <t xml:space="preserve">S08</t>
  </si>
  <si>
    <t xml:space="preserve">本回合我方剋制不限牌型等級</t>
  </si>
  <si>
    <r>
      <rPr>
        <sz val="11"/>
        <rFont val="Microsoft JhengHei"/>
        <family val="0"/>
        <charset val="1"/>
      </rPr>
      <t xml:space="preserve">G11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W32</t>
    </r>
  </si>
  <si>
    <t xml:space="preserve">精、魚</t>
  </si>
  <si>
    <t xml:space="preserve">S09</t>
  </si>
  <si>
    <t xml:space="preserve">本回合對手不能獻祭（可被【反擊】回應）</t>
  </si>
  <si>
    <r>
      <rPr>
        <sz val="11"/>
        <rFont val="Microsoft JhengHei"/>
        <family val="0"/>
        <charset val="1"/>
      </rPr>
      <t xml:space="preserve">F09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F17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W13</t>
    </r>
  </si>
  <si>
    <t xml:space="preserve">獸、龍、樹、妖</t>
  </si>
  <si>
    <t xml:space="preserve">S10</t>
  </si>
  <si>
    <t xml:space="preserve">本回合對手隊長效果無效</t>
  </si>
  <si>
    <r>
      <rPr>
        <sz val="11"/>
        <rFont val="Microsoft JhengHei"/>
        <family val="0"/>
        <charset val="1"/>
      </rPr>
      <t xml:space="preserve">F13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F31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W24</t>
    </r>
  </si>
  <si>
    <t xml:space="preserve">狐、鬼、鹿、龜、魚</t>
  </si>
  <si>
    <t xml:space="preserve">S11</t>
  </si>
  <si>
    <r>
      <rPr>
        <sz val="11"/>
        <rFont val="Noto Sans CJK SC"/>
        <family val="2"/>
      </rPr>
      <t xml:space="preserve">本回合對手戰力 </t>
    </r>
    <r>
      <rPr>
        <sz val="11"/>
        <rFont val="Microsoft JhengHei"/>
        <family val="0"/>
        <charset val="1"/>
      </rPr>
      <t xml:space="preserve">-2</t>
    </r>
  </si>
  <si>
    <r>
      <rPr>
        <sz val="11"/>
        <rFont val="Microsoft JhengHei"/>
        <family val="0"/>
        <charset val="1"/>
      </rPr>
      <t xml:space="preserve">F10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F33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W30</t>
    </r>
  </si>
  <si>
    <t xml:space="preserve">鳥、鬼、龜</t>
  </si>
  <si>
    <t xml:space="preserve">S12</t>
  </si>
  <si>
    <r>
      <rPr>
        <sz val="11"/>
        <rFont val="Noto Sans CJK SC"/>
        <family val="2"/>
      </rPr>
      <t xml:space="preserve">對手選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張手牌放回牌庫底</t>
    </r>
  </si>
  <si>
    <r>
      <rPr>
        <sz val="11"/>
        <rFont val="Microsoft JhengHei"/>
        <family val="0"/>
        <charset val="1"/>
      </rPr>
      <t xml:space="preserve">F23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F32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W11</t>
    </r>
  </si>
  <si>
    <t xml:space="preserve">魔、龍、妖</t>
  </si>
  <si>
    <t xml:space="preserve">S13</t>
  </si>
  <si>
    <t xml:space="preserve">【反擊】讓對手這次獻祭無效</t>
  </si>
  <si>
    <r>
      <rPr>
        <sz val="11"/>
        <rFont val="Microsoft JhengHei"/>
        <family val="0"/>
        <charset val="1"/>
      </rPr>
      <t xml:space="preserve">F27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F30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G33</t>
    </r>
  </si>
  <si>
    <t xml:space="preserve">魔、獸、樹</t>
  </si>
  <si>
    <t xml:space="preserve">S14</t>
  </si>
  <si>
    <r>
      <rPr>
        <sz val="11"/>
        <rFont val="Noto Sans CJK SC"/>
        <family val="2"/>
      </rPr>
      <t xml:space="preserve">隨機將對手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張手牌棄掉</t>
    </r>
  </si>
  <si>
    <r>
      <rPr>
        <sz val="11"/>
        <rFont val="Microsoft JhengHei"/>
        <family val="0"/>
        <charset val="1"/>
      </rPr>
      <t xml:space="preserve">W09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W26</t>
    </r>
  </si>
  <si>
    <t xml:space="preserve">魚、蛇</t>
  </si>
  <si>
    <t xml:space="preserve">S15</t>
  </si>
  <si>
    <t xml:space="preserve">本回合全場石像的啟動效果無效</t>
  </si>
  <si>
    <t xml:space="preserve">F11</t>
  </si>
  <si>
    <t xml:space="preserve">龍</t>
  </si>
  <si>
    <t xml:space="preserve">S16</t>
  </si>
  <si>
    <r>
      <rPr>
        <sz val="11"/>
        <rFont val="Noto Sans CJK SC"/>
        <family val="2"/>
      </rPr>
      <t xml:space="preserve">翻牌前看對手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張出戰牌</t>
    </r>
  </si>
  <si>
    <r>
      <rPr>
        <sz val="11"/>
        <rFont val="Microsoft JhengHei"/>
        <family val="0"/>
        <charset val="1"/>
      </rPr>
      <t xml:space="preserve">F19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W02</t>
    </r>
  </si>
  <si>
    <t xml:space="preserve">鬼、龜、人</t>
  </si>
  <si>
    <t xml:space="preserve">S17</t>
  </si>
  <si>
    <r>
      <rPr>
        <sz val="11"/>
        <rFont val="Noto Sans CJK SC"/>
        <family val="2"/>
      </rPr>
      <t xml:space="preserve">看對手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張手牌</t>
    </r>
  </si>
  <si>
    <t xml:space="preserve">F01</t>
  </si>
  <si>
    <t xml:space="preserve">S18</t>
  </si>
  <si>
    <t xml:space="preserve">石像操作</t>
  </si>
  <si>
    <r>
      <rPr>
        <sz val="11"/>
        <rFont val="Noto Sans CJK SC"/>
        <family val="2"/>
      </rPr>
      <t xml:space="preserve">發動我方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座直立、未封印石像的獻祭效果（不獻祭它）</t>
    </r>
  </si>
  <si>
    <r>
      <rPr>
        <sz val="11"/>
        <rFont val="Microsoft JhengHei"/>
        <family val="0"/>
        <charset val="1"/>
      </rPr>
      <t xml:space="preserve">F04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G22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W27</t>
    </r>
  </si>
  <si>
    <t xml:space="preserve">魔、花、鹿、魚、蛇</t>
  </si>
  <si>
    <t xml:space="preserve">S19</t>
  </si>
  <si>
    <r>
      <rPr>
        <sz val="11"/>
        <rFont val="Noto Sans CJK SC"/>
        <family val="2"/>
      </rPr>
      <t xml:space="preserve">【我方】已獻祭石像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座加入手牌</t>
    </r>
  </si>
  <si>
    <r>
      <rPr>
        <sz val="11"/>
        <rFont val="Microsoft JhengHei"/>
        <family val="0"/>
        <charset val="1"/>
      </rPr>
      <t xml:space="preserve">F24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W29</t>
    </r>
  </si>
  <si>
    <t xml:space="preserve">鳥、蟲、花、人、魚</t>
  </si>
  <si>
    <t xml:space="preserve">S20</t>
  </si>
  <si>
    <r>
      <rPr>
        <sz val="11"/>
        <rFont val="Noto Sans CJK SC"/>
        <family val="2"/>
      </rPr>
      <t xml:space="preserve">破壞對手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座直立石像（放入對手棄牌區）</t>
    </r>
  </si>
  <si>
    <r>
      <rPr>
        <sz val="11"/>
        <rFont val="Microsoft JhengHei"/>
        <family val="0"/>
        <charset val="1"/>
      </rPr>
      <t xml:space="preserve">G03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W23</t>
    </r>
  </si>
  <si>
    <t xml:space="preserve">蟲、仙、人、靈</t>
  </si>
  <si>
    <t xml:space="preserve">S21</t>
  </si>
  <si>
    <r>
      <rPr>
        <sz val="11"/>
        <rFont val="Noto Sans CJK SC"/>
        <family val="2"/>
      </rPr>
      <t xml:space="preserve">我方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座直立石像回到手牌</t>
    </r>
  </si>
  <si>
    <r>
      <rPr>
        <sz val="11"/>
        <rFont val="Microsoft JhengHei"/>
        <family val="0"/>
        <charset val="1"/>
      </rPr>
      <t xml:space="preserve">F21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W22</t>
    </r>
  </si>
  <si>
    <t xml:space="preserve">鬼、靈</t>
  </si>
  <si>
    <t xml:space="preserve">S22</t>
  </si>
  <si>
    <r>
      <rPr>
        <sz val="11"/>
        <rFont val="Noto Sans CJK SC"/>
        <family val="2"/>
      </rPr>
      <t xml:space="preserve">【對方】已獻祭石像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座放入棄牌區</t>
    </r>
  </si>
  <si>
    <r>
      <rPr>
        <sz val="11"/>
        <rFont val="Microsoft JhengHei"/>
        <family val="0"/>
        <charset val="1"/>
      </rPr>
      <t xml:space="preserve">F28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W08</t>
    </r>
  </si>
  <si>
    <t xml:space="preserve">鳥、仙、人</t>
  </si>
  <si>
    <t xml:space="preserve">S23</t>
  </si>
  <si>
    <r>
      <rPr>
        <sz val="11"/>
        <rFont val="Noto Sans CJK SC"/>
        <family val="2"/>
      </rPr>
      <t xml:space="preserve">【我方】已獻祭石像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座洗回牌庫</t>
    </r>
  </si>
  <si>
    <r>
      <rPr>
        <sz val="11"/>
        <rFont val="Microsoft JhengHei"/>
        <family val="0"/>
        <charset val="1"/>
      </rPr>
      <t xml:space="preserve">F34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W14</t>
    </r>
  </si>
  <si>
    <t xml:space="preserve">魔、蛇</t>
  </si>
  <si>
    <t xml:space="preserve">S24</t>
  </si>
  <si>
    <r>
      <rPr>
        <sz val="11"/>
        <rFont val="Noto Sans CJK SC"/>
        <family val="2"/>
      </rPr>
      <t xml:space="preserve">【我方】已獻祭石像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座放入棄牌區</t>
    </r>
  </si>
  <si>
    <t xml:space="preserve">F07</t>
  </si>
  <si>
    <t xml:space="preserve">鬼</t>
  </si>
  <si>
    <t xml:space="preserve">S25</t>
  </si>
  <si>
    <r>
      <rPr>
        <sz val="11"/>
        <rFont val="Noto Sans CJK SC"/>
        <family val="2"/>
      </rPr>
      <t xml:space="preserve">【我方】已獻祭石像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座重新直立</t>
    </r>
  </si>
  <si>
    <t xml:space="preserve">G07</t>
  </si>
  <si>
    <t xml:space="preserve">鹿</t>
  </si>
  <si>
    <t xml:space="preserve">S26</t>
  </si>
  <si>
    <r>
      <rPr>
        <sz val="11"/>
        <rFont val="Noto Sans CJK SC"/>
        <family val="2"/>
      </rPr>
      <t xml:space="preserve">【雙方】各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座已獻祭石像放入棄牌區</t>
    </r>
  </si>
  <si>
    <t xml:space="preserve">G10</t>
  </si>
  <si>
    <t xml:space="preserve">S27</t>
  </si>
  <si>
    <r>
      <rPr>
        <sz val="11"/>
        <rFont val="Noto Sans CJK SC"/>
        <family val="2"/>
      </rPr>
      <t xml:space="preserve">【對方】已獻祭石像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座重新直立</t>
    </r>
  </si>
  <si>
    <t xml:space="preserve">W12</t>
  </si>
  <si>
    <t xml:space="preserve">S28</t>
  </si>
  <si>
    <t xml:space="preserve">抽牌／檢索</t>
  </si>
  <si>
    <r>
      <rPr>
        <sz val="11"/>
        <rFont val="Noto Sans CJK SC"/>
        <family val="2"/>
      </rPr>
      <t xml:space="preserve">從牌庫選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張加入手牌</t>
    </r>
  </si>
  <si>
    <r>
      <rPr>
        <sz val="11"/>
        <rFont val="Microsoft JhengHei"/>
        <family val="0"/>
        <charset val="1"/>
      </rPr>
      <t xml:space="preserve">F03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G08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G29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G31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W33</t>
    </r>
  </si>
  <si>
    <t xml:space="preserve">狐、蟲、仙、花、精、妖</t>
  </si>
  <si>
    <t xml:space="preserve">S29</t>
  </si>
  <si>
    <r>
      <rPr>
        <sz val="11"/>
        <rFont val="Noto Sans CJK SC"/>
        <family val="2"/>
      </rPr>
      <t xml:space="preserve">從棄牌區取回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</si>
  <si>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F20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G17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G35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W17</t>
    </r>
  </si>
  <si>
    <t xml:space="preserve">龍、仙、花、精、魚</t>
  </si>
  <si>
    <t xml:space="preserve">S30</t>
  </si>
  <si>
    <r>
      <rPr>
        <sz val="11"/>
        <rFont val="Noto Sans CJK SC"/>
        <family val="2"/>
      </rPr>
      <t xml:space="preserve">【多抽】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張</t>
    </r>
  </si>
  <si>
    <r>
      <rPr>
        <sz val="11"/>
        <rFont val="Microsoft JhengHei"/>
        <family val="0"/>
        <charset val="1"/>
      </rPr>
      <t xml:space="preserve">F36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G13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G16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W25</t>
    </r>
  </si>
  <si>
    <t xml:space="preserve">獸、花、鹿、樹、龜</t>
  </si>
  <si>
    <t xml:space="preserve">S31</t>
  </si>
  <si>
    <r>
      <rPr>
        <sz val="11"/>
        <rFont val="Noto Sans CJK SC"/>
        <family val="2"/>
      </rPr>
      <t xml:space="preserve">看牌庫頂 </t>
    </r>
    <r>
      <rPr>
        <sz val="11"/>
        <rFont val="Microsoft JhengHei"/>
        <family val="0"/>
        <charset val="1"/>
      </rPr>
      <t xml:space="preserve">3 </t>
    </r>
    <r>
      <rPr>
        <sz val="11"/>
        <rFont val="Noto Sans CJK SC"/>
        <family val="2"/>
      </rPr>
      <t xml:space="preserve">張，選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張加入手牌，其餘放回牌庫底</t>
    </r>
  </si>
  <si>
    <r>
      <rPr>
        <sz val="11"/>
        <rFont val="Microsoft JhengHei"/>
        <family val="0"/>
        <charset val="1"/>
      </rPr>
      <t xml:space="preserve">F18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W18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W35</t>
    </r>
  </si>
  <si>
    <t xml:space="preserve">魔、靈、蛇、妖</t>
  </si>
  <si>
    <t xml:space="preserve">S32</t>
  </si>
  <si>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張手牌與牌庫頂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張交換</t>
    </r>
  </si>
  <si>
    <r>
      <rPr>
        <sz val="11"/>
        <rFont val="Microsoft JhengHei"/>
        <family val="0"/>
        <charset val="1"/>
      </rPr>
      <t xml:space="preserve">F14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F15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W31</t>
    </r>
  </si>
  <si>
    <t xml:space="preserve">魔、獸、靈</t>
  </si>
  <si>
    <t xml:space="preserve">S33</t>
  </si>
  <si>
    <r>
      <rPr>
        <sz val="11"/>
        <rFont val="Noto Sans CJK SC"/>
        <family val="2"/>
      </rPr>
      <t xml:space="preserve">棄牌區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張洗回牌庫</t>
    </r>
  </si>
  <si>
    <t xml:space="preserve">F16</t>
  </si>
  <si>
    <t xml:space="preserve">編號</t>
  </si>
  <si>
    <t xml:space="preserve">屬性</t>
  </si>
  <si>
    <t xml:space="preserve">啟動效果</t>
  </si>
  <si>
    <t xml:space="preserve">獻祭效果</t>
  </si>
  <si>
    <r>
      <rPr>
        <sz val="11"/>
        <color rgb="FF000000"/>
        <rFont val="Noto Sans CJK SC"/>
        <family val="2"/>
      </rPr>
      <t xml:space="preserve">看對手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張手牌</t>
    </r>
  </si>
  <si>
    <t xml:space="preserve">F02</t>
  </si>
  <si>
    <r>
      <rPr>
        <sz val="11"/>
        <color rgb="FF000000"/>
        <rFont val="Noto Sans CJK SC"/>
        <family val="2"/>
      </rPr>
      <t xml:space="preserve">屬性被對手剋制時對手戰力 </t>
    </r>
    <r>
      <rPr>
        <sz val="11"/>
        <color rgb="FF000000"/>
        <rFont val="Microsoft JhengHei"/>
        <family val="0"/>
        <charset val="1"/>
      </rPr>
      <t xml:space="preserve">-1</t>
    </r>
  </si>
  <si>
    <t xml:space="preserve">F03</t>
  </si>
  <si>
    <r>
      <rPr>
        <sz val="11"/>
        <color rgb="FF000000"/>
        <rFont val="Noto Sans CJK SC"/>
        <family val="2"/>
      </rPr>
      <t xml:space="preserve">屬性剋制成功時戰力 </t>
    </r>
    <r>
      <rPr>
        <sz val="11"/>
        <color rgb="FF000000"/>
        <rFont val="Microsoft JhengHei"/>
        <family val="0"/>
        <charset val="1"/>
      </rPr>
      <t xml:space="preserve">+2</t>
    </r>
  </si>
  <si>
    <r>
      <rPr>
        <sz val="11"/>
        <color rgb="FF000000"/>
        <rFont val="Noto Sans CJK SC"/>
        <family val="2"/>
      </rPr>
      <t xml:space="preserve">從牌庫選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張加入手牌</t>
    </r>
  </si>
  <si>
    <t xml:space="preserve">F04</t>
  </si>
  <si>
    <r>
      <rPr>
        <sz val="11"/>
        <color rgb="FF000000"/>
        <rFont val="Noto Sans CJK SC"/>
        <family val="2"/>
      </rPr>
      <t xml:space="preserve">發動我方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座直立、未封印石像的獻祭效果（不獻祭它）</t>
    </r>
  </si>
  <si>
    <r>
      <rPr>
        <sz val="11"/>
        <color rgb="FF000000"/>
        <rFont val="Noto Sans CJK SC"/>
        <family val="2"/>
      </rPr>
      <t xml:space="preserve">【出牌】前：看對手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張手牌</t>
    </r>
  </si>
  <si>
    <t xml:space="preserve">F06</t>
  </si>
  <si>
    <t xml:space="preserve">獸</t>
  </si>
  <si>
    <r>
      <rPr>
        <sz val="11"/>
        <color rgb="FF000000"/>
        <rFont val="Microsoft JhengHei"/>
        <family val="0"/>
        <charset val="1"/>
      </rPr>
      <t xml:space="preserve">AABB</t>
    </r>
    <r>
      <rPr>
        <sz val="11"/>
        <color rgb="FF000000"/>
        <rFont val="Noto Sans CJK SC"/>
        <family val="2"/>
      </rPr>
      <t xml:space="preserve">：戰力 </t>
    </r>
    <r>
      <rPr>
        <sz val="11"/>
        <color rgb="FF000000"/>
        <rFont val="Microsoft JhengHei"/>
        <family val="0"/>
        <charset val="1"/>
      </rPr>
      <t xml:space="preserve">+2</t>
    </r>
  </si>
  <si>
    <r>
      <rPr>
        <sz val="11"/>
        <color rgb="FF000000"/>
        <rFont val="Noto Sans CJK SC"/>
        <family val="2"/>
      </rPr>
      <t xml:space="preserve">本回合戰力 </t>
    </r>
    <r>
      <rPr>
        <sz val="11"/>
        <color rgb="FF000000"/>
        <rFont val="Microsoft JhengHei"/>
        <family val="0"/>
        <charset val="1"/>
      </rPr>
      <t xml:space="preserve">+1</t>
    </r>
    <r>
      <rPr>
        <sz val="11"/>
        <color rgb="FF000000"/>
        <rFont val="Noto Sans CJK SC"/>
        <family val="2"/>
      </rPr>
      <t xml:space="preserve">，【多抽】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</si>
  <si>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r>
      <rPr>
        <sz val="11"/>
        <color rgb="FF000000"/>
        <rFont val="Noto Sans CJK SC"/>
        <family val="2"/>
      </rPr>
      <t xml:space="preserve">雜色（</t>
    </r>
    <r>
      <rPr>
        <sz val="11"/>
        <color rgb="FF000000"/>
        <rFont val="Microsoft JhengHei"/>
        <family val="0"/>
        <charset val="1"/>
      </rPr>
      <t xml:space="preserve">AB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Microsoft JhengHei"/>
        <family val="0"/>
        <charset val="1"/>
      </rPr>
      <t xml:space="preserve">ABC</t>
    </r>
    <r>
      <rPr>
        <sz val="11"/>
        <color rgb="FF000000"/>
        <rFont val="Noto Sans CJK SC"/>
        <family val="2"/>
      </rPr>
      <t xml:space="preserve">）：戰力 </t>
    </r>
    <r>
      <rPr>
        <sz val="11"/>
        <color rgb="FF000000"/>
        <rFont val="Microsoft JhengHei"/>
        <family val="0"/>
        <charset val="1"/>
      </rPr>
      <t xml:space="preserve">+2</t>
    </r>
  </si>
  <si>
    <r>
      <rPr>
        <sz val="11"/>
        <color rgb="FF000000"/>
        <rFont val="Noto Sans CJK SC"/>
        <family val="2"/>
      </rPr>
      <t xml:space="preserve">【我方】已獻祭石像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座放入棄牌區</t>
    </r>
  </si>
  <si>
    <t xml:space="preserve">F08</t>
  </si>
  <si>
    <r>
      <rPr>
        <sz val="11"/>
        <color rgb="FF000000"/>
        <rFont val="Noto Sans CJK SC"/>
        <family val="2"/>
      </rPr>
      <t xml:space="preserve">牌型有 </t>
    </r>
    <r>
      <rPr>
        <sz val="11"/>
        <color rgb="FF000000"/>
        <rFont val="Microsoft JhengHei"/>
        <family val="0"/>
        <charset val="1"/>
      </rPr>
      <t xml:space="preserve">AA</t>
    </r>
    <r>
      <rPr>
        <sz val="11"/>
        <color rgb="FF000000"/>
        <rFont val="Noto Sans CJK SC"/>
        <family val="2"/>
      </rPr>
      <t xml:space="preserve">：戰力 </t>
    </r>
    <r>
      <rPr>
        <sz val="11"/>
        <color rgb="FF000000"/>
        <rFont val="Microsoft JhengHei"/>
        <family val="0"/>
        <charset val="1"/>
      </rPr>
      <t xml:space="preserve">+1</t>
    </r>
  </si>
  <si>
    <t xml:space="preserve">F09</t>
  </si>
  <si>
    <r>
      <rPr>
        <sz val="11"/>
        <color rgb="FF000000"/>
        <rFont val="Noto Sans CJK SC"/>
        <family val="2"/>
      </rPr>
      <t xml:space="preserve">無法成立牌型時：將最左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張啟動為石像</t>
    </r>
  </si>
  <si>
    <t xml:space="preserve">F10</t>
  </si>
  <si>
    <r>
      <rPr>
        <sz val="11"/>
        <color rgb="FF000000"/>
        <rFont val="Noto Sans CJK SC"/>
        <family val="2"/>
      </rPr>
      <t xml:space="preserve">對手【多抽】時，少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張（每回合執行一次）</t>
    </r>
  </si>
  <si>
    <r>
      <rPr>
        <sz val="11"/>
        <color rgb="FF000000"/>
        <rFont val="Noto Sans CJK SC"/>
        <family val="2"/>
      </rPr>
      <t xml:space="preserve">本回合對手戰力 </t>
    </r>
    <r>
      <rPr>
        <sz val="11"/>
        <color rgb="FF000000"/>
        <rFont val="Microsoft JhengHei"/>
        <family val="0"/>
        <charset val="1"/>
      </rPr>
      <t xml:space="preserve">-2</t>
    </r>
  </si>
  <si>
    <r>
      <rPr>
        <sz val="11"/>
        <color rgb="FF000000"/>
        <rFont val="Noto Sans CJK SC"/>
        <family val="2"/>
      </rPr>
      <t xml:space="preserve">對手戰力 </t>
    </r>
    <r>
      <rPr>
        <sz val="11"/>
        <color rgb="FF000000"/>
        <rFont val="Microsoft JhengHei"/>
        <family val="0"/>
        <charset val="1"/>
      </rPr>
      <t xml:space="preserve">-1</t>
    </r>
  </si>
  <si>
    <t xml:space="preserve">F13</t>
  </si>
  <si>
    <r>
      <rPr>
        <sz val="11"/>
        <color rgb="FF000000"/>
        <rFont val="Noto Sans CJK SC"/>
        <family val="2"/>
      </rPr>
      <t xml:space="preserve">對手每有 </t>
    </r>
    <r>
      <rPr>
        <sz val="11"/>
        <color rgb="FF000000"/>
        <rFont val="Microsoft JhengHei"/>
        <family val="0"/>
        <charset val="1"/>
      </rPr>
      <t xml:space="preserve">3 </t>
    </r>
    <r>
      <rPr>
        <sz val="11"/>
        <color rgb="FF000000"/>
        <rFont val="Noto Sans CJK SC"/>
        <family val="2"/>
      </rPr>
      <t xml:space="preserve">座已獻祭石像：對手戰力 </t>
    </r>
    <r>
      <rPr>
        <sz val="11"/>
        <color rgb="FF000000"/>
        <rFont val="Microsoft JhengHei"/>
        <family val="0"/>
        <charset val="1"/>
      </rPr>
      <t xml:space="preserve">-1</t>
    </r>
  </si>
  <si>
    <r>
      <rPr>
        <sz val="11"/>
        <color rgb="FF000000"/>
        <rFont val="Noto Sans CJK SC"/>
        <family val="2"/>
      </rPr>
      <t xml:space="preserve">【整理】時：手牌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張放到牌庫底</t>
    </r>
  </si>
  <si>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張手牌與牌庫頂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張交換</t>
    </r>
  </si>
  <si>
    <t xml:space="preserve">F15</t>
  </si>
  <si>
    <r>
      <rPr>
        <sz val="11"/>
        <color rgb="FF000000"/>
        <rFont val="Noto Sans CJK SC"/>
        <family val="2"/>
      </rPr>
      <t xml:space="preserve">【補牌】：【多抽】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</si>
  <si>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r>
      <rPr>
        <sz val="11"/>
        <color rgb="FF000000"/>
        <rFont val="Noto Sans CJK SC"/>
        <family val="2"/>
      </rPr>
      <t xml:space="preserve">【補牌】：【換牌】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張（棄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張手牌，再抽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張）</t>
    </r>
  </si>
  <si>
    <r>
      <rPr>
        <sz val="11"/>
        <color rgb="FF000000"/>
        <rFont val="Noto Sans CJK SC"/>
        <family val="2"/>
      </rPr>
      <t xml:space="preserve">棄牌區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張洗回牌庫</t>
    </r>
  </si>
  <si>
    <t xml:space="preserve">F17</t>
  </si>
  <si>
    <r>
      <rPr>
        <sz val="11"/>
        <color rgb="FF000000"/>
        <rFont val="Noto Sans CJK SC"/>
        <family val="2"/>
      </rPr>
      <t xml:space="preserve">【補牌】：從棄牌區隨機取回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</si>
  <si>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t xml:space="preserve">F18</t>
  </si>
  <si>
    <r>
      <rPr>
        <sz val="11"/>
        <color rgb="FF000000"/>
        <rFont val="Noto Sans CJK SC"/>
        <family val="2"/>
      </rPr>
      <t xml:space="preserve">【補牌】：看牌庫頂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張，放回牌庫頂或牌庫底</t>
    </r>
  </si>
  <si>
    <r>
      <rPr>
        <sz val="11"/>
        <color rgb="FF000000"/>
        <rFont val="Noto Sans CJK SC"/>
        <family val="2"/>
      </rPr>
      <t xml:space="preserve">看牌庫頂 </t>
    </r>
    <r>
      <rPr>
        <sz val="11"/>
        <color rgb="FF000000"/>
        <rFont val="Microsoft JhengHei"/>
        <family val="0"/>
        <charset val="1"/>
      </rPr>
      <t xml:space="preserve">3 </t>
    </r>
    <r>
      <rPr>
        <sz val="11"/>
        <color rgb="FF000000"/>
        <rFont val="Noto Sans CJK SC"/>
        <family val="2"/>
      </rPr>
      <t xml:space="preserve">張，選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張加入手牌，其餘放回牌庫底</t>
    </r>
  </si>
  <si>
    <t xml:space="preserve">F19</t>
  </si>
  <si>
    <r>
      <rPr>
        <sz val="11"/>
        <color rgb="FF000000"/>
        <rFont val="Noto Sans CJK SC"/>
        <family val="2"/>
      </rPr>
      <t xml:space="preserve">【我方】獻祭石像時：【多抽】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</si>
  <si>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r>
      <rPr>
        <sz val="11"/>
        <color rgb="FF000000"/>
        <rFont val="Noto Sans CJK SC"/>
        <family val="2"/>
      </rPr>
      <t xml:space="preserve">翻牌前看對手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張出戰牌</t>
    </r>
  </si>
  <si>
    <t xml:space="preserve">F20</t>
  </si>
  <si>
    <r>
      <rPr>
        <sz val="11"/>
        <color rgb="FF000000"/>
        <rFont val="Noto Sans CJK SC"/>
        <family val="2"/>
      </rPr>
      <t xml:space="preserve">【整理】：我方已獻祭石像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座洗回牌庫</t>
    </r>
  </si>
  <si>
    <r>
      <rPr>
        <sz val="11"/>
        <color rgb="FF000000"/>
        <rFont val="Noto Sans CJK SC"/>
        <family val="2"/>
      </rPr>
      <t xml:space="preserve">從棄牌區取回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張</t>
    </r>
  </si>
  <si>
    <t xml:space="preserve">F21</t>
  </si>
  <si>
    <r>
      <rPr>
        <sz val="11"/>
        <color rgb="FF000000"/>
        <rFont val="Noto Sans CJK SC"/>
        <family val="2"/>
      </rPr>
      <t xml:space="preserve">對手直立石像比我方多：戰力 </t>
    </r>
    <r>
      <rPr>
        <sz val="11"/>
        <color rgb="FF000000"/>
        <rFont val="Microsoft JhengHei"/>
        <family val="0"/>
        <charset val="1"/>
      </rPr>
      <t xml:space="preserve">+2</t>
    </r>
  </si>
  <si>
    <r>
      <rPr>
        <sz val="11"/>
        <color rgb="FF000000"/>
        <rFont val="Noto Sans CJK SC"/>
        <family val="2"/>
      </rPr>
      <t xml:space="preserve">我方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座直立石像回到手牌</t>
    </r>
  </si>
  <si>
    <t xml:space="preserve">F22</t>
  </si>
  <si>
    <r>
      <rPr>
        <sz val="11"/>
        <color rgb="FF000000"/>
        <rFont val="Noto Sans CJK SC"/>
        <family val="2"/>
      </rPr>
      <t xml:space="preserve">我方每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座直立火石像：戰力 </t>
    </r>
    <r>
      <rPr>
        <sz val="11"/>
        <color rgb="FF000000"/>
        <rFont val="Microsoft JhengHei"/>
        <family val="0"/>
        <charset val="1"/>
      </rPr>
      <t xml:space="preserve">+1</t>
    </r>
  </si>
  <si>
    <r>
      <rPr>
        <sz val="11"/>
        <color rgb="FF000000"/>
        <rFont val="Noto Sans CJK SC"/>
        <family val="2"/>
      </rPr>
      <t xml:space="preserve">變換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張手牌或出戰牌的屬性（本回合有效）</t>
    </r>
  </si>
  <si>
    <t xml:space="preserve">F23</t>
  </si>
  <si>
    <r>
      <rPr>
        <sz val="11"/>
        <color rgb="FF000000"/>
        <rFont val="Noto Sans CJK SC"/>
        <family val="2"/>
      </rPr>
      <t xml:space="preserve">對手選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張手牌放回牌庫底</t>
    </r>
  </si>
  <si>
    <t xml:space="preserve">F24</t>
  </si>
  <si>
    <r>
      <rPr>
        <sz val="11"/>
        <color rgb="FF000000"/>
        <rFont val="Noto Sans CJK SC"/>
        <family val="2"/>
      </rPr>
      <t xml:space="preserve">【我方】已獻祭石像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座加入手牌</t>
    </r>
  </si>
  <si>
    <t xml:space="preserve">F25</t>
  </si>
  <si>
    <r>
      <rPr>
        <sz val="11"/>
        <color rgb="FF000000"/>
        <rFont val="Noto Sans CJK SC"/>
        <family val="2"/>
      </rPr>
      <t xml:space="preserve">【我方】本回合破壞對手石像：戰力 </t>
    </r>
    <r>
      <rPr>
        <sz val="11"/>
        <color rgb="FF000000"/>
        <rFont val="Microsoft JhengHei"/>
        <family val="0"/>
        <charset val="1"/>
      </rPr>
      <t xml:space="preserve">+1</t>
    </r>
  </si>
  <si>
    <r>
      <rPr>
        <sz val="11"/>
        <color rgb="FF000000"/>
        <rFont val="Noto Sans CJK SC"/>
        <family val="2"/>
      </rPr>
      <t xml:space="preserve">本回合我方剋制加成 </t>
    </r>
    <r>
      <rPr>
        <sz val="11"/>
        <color rgb="FF000000"/>
        <rFont val="Microsoft JhengHei"/>
        <family val="0"/>
        <charset val="1"/>
      </rPr>
      <t xml:space="preserve">+2</t>
    </r>
  </si>
  <si>
    <t xml:space="preserve">F26</t>
  </si>
  <si>
    <r>
      <rPr>
        <sz val="11"/>
        <color rgb="FF000000"/>
        <rFont val="Noto Sans CJK SC"/>
        <family val="2"/>
      </rPr>
      <t xml:space="preserve">【對方】石像被破壞時：【多抽】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</si>
  <si>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t xml:space="preserve">F28</t>
  </si>
  <si>
    <r>
      <rPr>
        <sz val="11"/>
        <color rgb="FF000000"/>
        <rFont val="Noto Sans CJK SC"/>
        <family val="2"/>
      </rPr>
      <t xml:space="preserve">【補牌】：上回合落敗時，【多抽】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</si>
  <si>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r>
      <rPr>
        <sz val="11"/>
        <color rgb="FF000000"/>
        <rFont val="Noto Sans CJK SC"/>
        <family val="2"/>
      </rPr>
      <t xml:space="preserve">【對方】已獻祭石像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座放入棄牌區</t>
    </r>
  </si>
  <si>
    <t xml:space="preserve">F29</t>
  </si>
  <si>
    <r>
      <rPr>
        <sz val="11"/>
        <color rgb="FF000000"/>
        <rFont val="Noto Sans CJK SC"/>
        <family val="2"/>
      </rPr>
      <t xml:space="preserve">本回合戰力 </t>
    </r>
    <r>
      <rPr>
        <sz val="11"/>
        <color rgb="FF000000"/>
        <rFont val="Microsoft JhengHei"/>
        <family val="0"/>
        <charset val="1"/>
      </rPr>
      <t xml:space="preserve">+2</t>
    </r>
  </si>
  <si>
    <t xml:space="preserve">F30</t>
  </si>
  <si>
    <t xml:space="preserve">F31</t>
  </si>
  <si>
    <r>
      <rPr>
        <sz val="11"/>
        <color rgb="FF000000"/>
        <rFont val="Noto Sans CJK SC"/>
        <family val="2"/>
      </rPr>
      <t xml:space="preserve">【補牌】：上回合平手時，【多抽】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</si>
  <si>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t xml:space="preserve">F32</t>
  </si>
  <si>
    <r>
      <rPr>
        <sz val="11"/>
        <color rgb="FF000000"/>
        <rFont val="Microsoft JhengHei"/>
        <family val="0"/>
        <charset val="1"/>
      </rPr>
      <t xml:space="preserve">AAA</t>
    </r>
    <r>
      <rPr>
        <sz val="11"/>
        <color rgb="FF000000"/>
        <rFont val="Noto Sans CJK SC"/>
        <family val="2"/>
      </rPr>
      <t xml:space="preserve">：戰力 </t>
    </r>
    <r>
      <rPr>
        <sz val="11"/>
        <color rgb="FF000000"/>
        <rFont val="Microsoft JhengHei"/>
        <family val="0"/>
        <charset val="1"/>
      </rPr>
      <t xml:space="preserve">+2</t>
    </r>
  </si>
  <si>
    <t xml:space="preserve">F33</t>
  </si>
  <si>
    <r>
      <rPr>
        <sz val="11"/>
        <color rgb="FF000000"/>
        <rFont val="Microsoft JhengHei"/>
        <family val="0"/>
        <charset val="1"/>
      </rPr>
      <t xml:space="preserve">AAAA</t>
    </r>
    <r>
      <rPr>
        <sz val="11"/>
        <color rgb="FF000000"/>
        <rFont val="Noto Sans CJK SC"/>
        <family val="2"/>
      </rPr>
      <t xml:space="preserve">：戰力 </t>
    </r>
    <r>
      <rPr>
        <sz val="11"/>
        <color rgb="FF000000"/>
        <rFont val="Microsoft JhengHei"/>
        <family val="0"/>
        <charset val="1"/>
      </rPr>
      <t xml:space="preserve">+3</t>
    </r>
  </si>
  <si>
    <t xml:space="preserve">F34</t>
  </si>
  <si>
    <r>
      <rPr>
        <sz val="11"/>
        <color rgb="FF000000"/>
        <rFont val="Noto Sans CJK SC"/>
        <family val="2"/>
      </rPr>
      <t xml:space="preserve">牌型有 </t>
    </r>
    <r>
      <rPr>
        <sz val="11"/>
        <color rgb="FF000000"/>
        <rFont val="Microsoft JhengHei"/>
        <family val="0"/>
        <charset val="1"/>
      </rPr>
      <t xml:space="preserve">AAA</t>
    </r>
    <r>
      <rPr>
        <sz val="11"/>
        <color rgb="FF000000"/>
        <rFont val="Noto Sans CJK SC"/>
        <family val="2"/>
      </rPr>
      <t xml:space="preserve">：戰力 </t>
    </r>
    <r>
      <rPr>
        <sz val="11"/>
        <color rgb="FF000000"/>
        <rFont val="Microsoft JhengHei"/>
        <family val="0"/>
        <charset val="1"/>
      </rPr>
      <t xml:space="preserve">+1</t>
    </r>
  </si>
  <si>
    <r>
      <rPr>
        <sz val="11"/>
        <color rgb="FF000000"/>
        <rFont val="Noto Sans CJK SC"/>
        <family val="2"/>
      </rPr>
      <t xml:space="preserve">【我方】已獻祭石像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座洗回牌庫</t>
    </r>
  </si>
  <si>
    <t xml:space="preserve">F35</t>
  </si>
  <si>
    <r>
      <rPr>
        <sz val="11"/>
        <color rgb="FF000000"/>
        <rFont val="Noto Sans CJK SC"/>
        <family val="2"/>
      </rPr>
      <t xml:space="preserve">核心為火：戰力 </t>
    </r>
    <r>
      <rPr>
        <sz val="11"/>
        <color rgb="FF000000"/>
        <rFont val="Microsoft JhengHei"/>
        <family val="0"/>
        <charset val="1"/>
      </rPr>
      <t xml:space="preserve">+1</t>
    </r>
  </si>
  <si>
    <t xml:space="preserve">F36</t>
  </si>
  <si>
    <r>
      <rPr>
        <sz val="11"/>
        <color rgb="FF000000"/>
        <rFont val="Noto Sans CJK SC"/>
        <family val="2"/>
      </rPr>
      <t xml:space="preserve">【多抽】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張</t>
    </r>
  </si>
  <si>
    <t xml:space="preserve">G01</t>
  </si>
  <si>
    <t xml:space="preserve">蟲</t>
  </si>
  <si>
    <t xml:space="preserve">G02</t>
  </si>
  <si>
    <t xml:space="preserve">G03</t>
  </si>
  <si>
    <r>
      <rPr>
        <sz val="11"/>
        <color rgb="FF000000"/>
        <rFont val="Noto Sans CJK SC"/>
        <family val="2"/>
      </rPr>
      <t xml:space="preserve">破壞對手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座直立石像（放入對手棄牌區）</t>
    </r>
  </si>
  <si>
    <t xml:space="preserve">G04</t>
  </si>
  <si>
    <t xml:space="preserve">G05</t>
  </si>
  <si>
    <t xml:space="preserve">G06</t>
  </si>
  <si>
    <r>
      <rPr>
        <sz val="11"/>
        <color rgb="FF000000"/>
        <rFont val="Noto Sans CJK SC"/>
        <family val="2"/>
      </rPr>
      <t xml:space="preserve">【我方】已獻祭石像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座重新直立</t>
    </r>
  </si>
  <si>
    <t xml:space="preserve">G08</t>
  </si>
  <si>
    <t xml:space="preserve">G09</t>
  </si>
  <si>
    <r>
      <rPr>
        <sz val="11"/>
        <color rgb="FF000000"/>
        <rFont val="Noto Sans CJK SC"/>
        <family val="2"/>
      </rPr>
      <t xml:space="preserve">【雙方】各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座已獻祭石像放入棄牌區</t>
    </r>
  </si>
  <si>
    <r>
      <rPr>
        <sz val="11"/>
        <color rgb="FF000000"/>
        <rFont val="Noto Sans CJK SC"/>
        <family val="2"/>
      </rPr>
      <t xml:space="preserve">對手補牌上限 </t>
    </r>
    <r>
      <rPr>
        <sz val="11"/>
        <color rgb="FF000000"/>
        <rFont val="Microsoft JhengHei"/>
        <family val="0"/>
        <charset val="1"/>
      </rPr>
      <t xml:space="preserve">-1</t>
    </r>
  </si>
  <si>
    <t xml:space="preserve">G12</t>
  </si>
  <si>
    <r>
      <rPr>
        <sz val="11"/>
        <color rgb="FF000000"/>
        <rFont val="Noto Sans CJK SC"/>
        <family val="2"/>
      </rPr>
      <t xml:space="preserve">【對方】獻祭石像時：我方【多抽】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</si>
  <si>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r>
      <rPr>
        <sz val="11"/>
        <color rgb="FF000000"/>
        <rFont val="Noto Sans CJK SC"/>
        <family val="2"/>
      </rPr>
      <t xml:space="preserve">【整理】：棄牌區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張放回牌庫底</t>
    </r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</si>
  <si>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</si>
  <si>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</si>
  <si>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</si>
  <si>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</si>
  <si>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</si>
  <si>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</si>
  <si>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</si>
  <si>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r>
      <rPr>
        <sz val="11"/>
        <color rgb="FF000000"/>
        <rFont val="Noto Sans CJK SC"/>
        <family val="2"/>
      </rPr>
      <t xml:space="preserve">【我方】石像被破壞時：【多抽】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張</t>
    </r>
  </si>
  <si>
    <t xml:space="preserve">G22</t>
  </si>
  <si>
    <r>
      <rPr>
        <sz val="11"/>
        <color rgb="FF000000"/>
        <rFont val="Noto Sans CJK SC"/>
        <family val="2"/>
      </rPr>
      <t xml:space="preserve">我方每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座直立草石像：戰力 </t>
    </r>
    <r>
      <rPr>
        <sz val="11"/>
        <color rgb="FF000000"/>
        <rFont val="Microsoft JhengHei"/>
        <family val="0"/>
        <charset val="1"/>
      </rPr>
      <t xml:space="preserve">+1</t>
    </r>
  </si>
  <si>
    <t xml:space="preserve">G23</t>
  </si>
  <si>
    <r>
      <rPr>
        <sz val="11"/>
        <color rgb="FF000000"/>
        <rFont val="Noto Sans CJK SC"/>
        <family val="2"/>
      </rPr>
      <t xml:space="preserve">【雙方】任一石像被破壞時：【多抽】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</si>
  <si>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t xml:space="preserve">G25</t>
  </si>
  <si>
    <t xml:space="preserve">G26</t>
  </si>
  <si>
    <r>
      <rPr>
        <sz val="11"/>
        <color rgb="FF000000"/>
        <rFont val="Noto Sans CJK SC"/>
        <family val="2"/>
      </rPr>
      <t xml:space="preserve">本回合獲勝時：多得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分</t>
    </r>
  </si>
  <si>
    <t xml:space="preserve">G27</t>
  </si>
  <si>
    <r>
      <rPr>
        <sz val="11"/>
        <color rgb="FF000000"/>
        <rFont val="Noto Sans CJK SC"/>
        <family val="2"/>
      </rPr>
      <t xml:space="preserve">【補牌】：分數落後時，【多抽】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</si>
  <si>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t xml:space="preserve">G28</t>
  </si>
  <si>
    <r>
      <rPr>
        <sz val="11"/>
        <color rgb="FF000000"/>
        <rFont val="Noto Sans CJK SC"/>
        <family val="2"/>
      </rPr>
      <t xml:space="preserve">分數落後時：戰力 </t>
    </r>
    <r>
      <rPr>
        <sz val="11"/>
        <color rgb="FF000000"/>
        <rFont val="Microsoft JhengHei"/>
        <family val="0"/>
        <charset val="1"/>
      </rPr>
      <t xml:space="preserve">+2</t>
    </r>
  </si>
  <si>
    <t xml:space="preserve">G29</t>
  </si>
  <si>
    <t xml:space="preserve">G30</t>
  </si>
  <si>
    <r>
      <rPr>
        <sz val="11"/>
        <color rgb="FF000000"/>
        <rFont val="Noto Sans CJK SC"/>
        <family val="2"/>
      </rPr>
      <t xml:space="preserve">上回合落敗時：戰力 </t>
    </r>
    <r>
      <rPr>
        <sz val="11"/>
        <color rgb="FF000000"/>
        <rFont val="Microsoft JhengHei"/>
        <family val="0"/>
        <charset val="1"/>
      </rPr>
      <t xml:space="preserve">+1</t>
    </r>
  </si>
  <si>
    <t xml:space="preserve">G31</t>
  </si>
  <si>
    <t xml:space="preserve">G32</t>
  </si>
  <si>
    <t xml:space="preserve">G33</t>
  </si>
  <si>
    <t xml:space="preserve">G34</t>
  </si>
  <si>
    <r>
      <rPr>
        <sz val="11"/>
        <color rgb="FF000000"/>
        <rFont val="Noto Sans CJK SC"/>
        <family val="2"/>
      </rPr>
      <t xml:space="preserve">核心為草：戰力 </t>
    </r>
    <r>
      <rPr>
        <sz val="11"/>
        <color rgb="FF000000"/>
        <rFont val="Microsoft JhengHei"/>
        <family val="0"/>
        <charset val="1"/>
      </rPr>
      <t xml:space="preserve">+1</t>
    </r>
  </si>
  <si>
    <t xml:space="preserve">G35</t>
  </si>
  <si>
    <t xml:space="preserve">G36</t>
  </si>
  <si>
    <r>
      <rPr>
        <sz val="11"/>
        <color rgb="FF000000"/>
        <rFont val="Noto Sans CJK SC"/>
        <family val="2"/>
      </rPr>
      <t xml:space="preserve">出戰牌全同屬性：戰力 </t>
    </r>
    <r>
      <rPr>
        <sz val="11"/>
        <color rgb="FF000000"/>
        <rFont val="Microsoft JhengHei"/>
        <family val="0"/>
        <charset val="1"/>
      </rPr>
      <t xml:space="preserve">+2</t>
    </r>
  </si>
  <si>
    <t xml:space="preserve">W01</t>
  </si>
  <si>
    <t xml:space="preserve">W02</t>
  </si>
  <si>
    <t xml:space="preserve">W03</t>
  </si>
  <si>
    <t xml:space="preserve">W04</t>
  </si>
  <si>
    <r>
      <rPr>
        <sz val="11"/>
        <color rgb="FF000000"/>
        <rFont val="Noto Sans CJK SC"/>
        <family val="2"/>
      </rPr>
      <t xml:space="preserve">【翻牌】前：看對手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張出戰牌</t>
    </r>
  </si>
  <si>
    <t xml:space="preserve">W06</t>
  </si>
  <si>
    <t xml:space="preserve">W07</t>
  </si>
  <si>
    <t xml:space="preserve">W08</t>
  </si>
  <si>
    <t xml:space="preserve">W09</t>
  </si>
  <si>
    <t xml:space="preserve">蛇</t>
  </si>
  <si>
    <r>
      <rPr>
        <sz val="11"/>
        <color rgb="FF000000"/>
        <rFont val="Noto Sans CJK SC"/>
        <family val="2"/>
      </rPr>
      <t xml:space="preserve">隨機將對手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張手牌棄掉</t>
    </r>
  </si>
  <si>
    <t xml:space="preserve">W10</t>
  </si>
  <si>
    <t xml:space="preserve">W11</t>
  </si>
  <si>
    <t xml:space="preserve">妖</t>
  </si>
  <si>
    <r>
      <rPr>
        <sz val="11"/>
        <color rgb="FF000000"/>
        <rFont val="Noto Sans CJK SC"/>
        <family val="2"/>
      </rPr>
      <t xml:space="preserve">【對方】已獻祭石像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座重新直立</t>
    </r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</si>
  <si>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</si>
  <si>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</si>
  <si>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</si>
  <si>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</si>
  <si>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</si>
  <si>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</si>
  <si>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r>
      <rPr>
        <sz val="11"/>
        <color rgb="FF000000"/>
        <rFont val="Noto Sans CJK SC"/>
        <family val="2"/>
      </rPr>
      <t xml:space="preserve">【我方】本回合有獻祭石像：戰力 </t>
    </r>
    <r>
      <rPr>
        <sz val="11"/>
        <color rgb="FF000000"/>
        <rFont val="Microsoft JhengHei"/>
        <family val="0"/>
        <charset val="1"/>
      </rPr>
      <t xml:space="preserve">+1</t>
    </r>
  </si>
  <si>
    <r>
      <rPr>
        <sz val="11"/>
        <color rgb="FF000000"/>
        <rFont val="Noto Sans CJK SC"/>
        <family val="2"/>
      </rPr>
      <t xml:space="preserve">我方每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座已獻祭石像：所有牌型戰力 </t>
    </r>
    <r>
      <rPr>
        <sz val="11"/>
        <color rgb="FF000000"/>
        <rFont val="Microsoft JhengHei"/>
        <family val="0"/>
        <charset val="1"/>
      </rPr>
      <t xml:space="preserve">+1</t>
    </r>
  </si>
  <si>
    <r>
      <rPr>
        <sz val="11"/>
        <color rgb="FF000000"/>
        <rFont val="Noto Sans CJK SC"/>
        <family val="2"/>
      </rPr>
      <t xml:space="preserve">【我方】石像被破壞時：從棄牌區取回 </t>
    </r>
    <r>
      <rPr>
        <sz val="11"/>
        <color rgb="FF000000"/>
        <rFont val="Microsoft JhengHei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張</t>
    </r>
  </si>
  <si>
    <t xml:space="preserve">W22</t>
  </si>
  <si>
    <r>
      <rPr>
        <sz val="11"/>
        <color rgb="FF000000"/>
        <rFont val="Noto Sans CJK SC"/>
        <family val="2"/>
      </rPr>
      <t xml:space="preserve">我方每 </t>
    </r>
    <r>
      <rPr>
        <sz val="11"/>
        <color rgb="FF000000"/>
        <rFont val="Microsoft JhengHei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座直立水石像：戰力 </t>
    </r>
    <r>
      <rPr>
        <sz val="11"/>
        <color rgb="FF000000"/>
        <rFont val="Microsoft JhengHei"/>
        <family val="0"/>
        <charset val="1"/>
      </rPr>
      <t xml:space="preserve">+1</t>
    </r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</si>
  <si>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</si>
  <si>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</si>
  <si>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</si>
  <si>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</si>
  <si>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</si>
  <si>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</si>
  <si>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</si>
  <si>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</si>
  <si>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</si>
  <si>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r>
      <rPr>
        <sz val="11"/>
        <color rgb="FF000000"/>
        <rFont val="Noto Sans CJK SC"/>
        <family val="2"/>
      </rPr>
      <t xml:space="preserve">所有牌型：戰力 </t>
    </r>
    <r>
      <rPr>
        <sz val="11"/>
        <color rgb="FF000000"/>
        <rFont val="Microsoft JhengHei"/>
        <family val="0"/>
        <charset val="1"/>
      </rPr>
      <t xml:space="preserve">+1</t>
    </r>
  </si>
  <si>
    <t xml:space="preserve">W33</t>
  </si>
  <si>
    <t xml:space="preserve">W34</t>
  </si>
  <si>
    <r>
      <rPr>
        <sz val="11"/>
        <color rgb="FF000000"/>
        <rFont val="Noto Sans CJK SC"/>
        <family val="2"/>
      </rPr>
      <t xml:space="preserve">核心為水：戰力 </t>
    </r>
    <r>
      <rPr>
        <sz val="11"/>
        <color rgb="FF000000"/>
        <rFont val="Microsoft JhengHei"/>
        <family val="0"/>
        <charset val="1"/>
      </rPr>
      <t xml:space="preserve">+1</t>
    </r>
  </si>
  <si>
    <t xml:space="preserve">W35</t>
  </si>
  <si>
    <t xml:space="preserve">W36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</si>
</sst>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Microsoft JhengHei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Microsoft JhengHei"/>
      <family val="0"/>
      <charset val="1"/>
    </font>
    <font>
      <i val="true"/>
      <sz val="11"/>
      <color rgb="FF666666"/>
      <name val="Noto Sans CJK SC"/>
      <family val="2"/>
    </font>
    <font>
      <i val="true"/>
      <sz val="11"/>
      <color rgb="FF666666"/>
      <name val="Microsoft JhengHei"/>
      <family val="0"/>
      <charset val="1"/>
    </font>
    <font>
      <sz val="11"/>
      <color rgb="FF000000"/>
      <name val="Microsoft JhengHei"/>
      <family val="0"/>
      <charset val="1"/>
    </font>
    <font>
      <sz val="11"/>
      <color rgb="FF0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F4CCCC"/>
        <bgColor rgb="FFD9EAD3"/>
      </patternFill>
    </fill>
    <fill>
      <patternFill patternType="solid">
        <fgColor rgb="FFCFE2F3"/>
        <bgColor rgb="FFD9EAD3"/>
      </patternFill>
    </fill>
    <fill>
      <patternFill patternType="solid">
        <fgColor rgb="FFD9EAD3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B2B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7" min="5" style="0" width="6"/>
    <col collapsed="false" customWidth="true" hidden="false" outlineLevel="0" max="8" min="8" style="0" width="34"/>
    <col collapsed="false" customWidth="true" hidden="false" outlineLevel="0" max="9" min="9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2.8" hidden="false" customHeight="false" outlineLevel="0" collapsed="false">
      <c r="A2" s="2" t="s">
        <v>9</v>
      </c>
      <c r="B2" s="3" t="s">
        <v>10</v>
      </c>
      <c r="C2" s="4" t="s">
        <v>11</v>
      </c>
      <c r="D2" s="2" t="n">
        <f aca="false">COUNTIF(卡表108!$D$2:$D$109,C2)</f>
        <v>6</v>
      </c>
      <c r="E2" s="5" t="n">
        <f aca="false">COUNTIFS(卡表108!$D$2:$D$109,C2,卡表108!$B$2:$B$109,"火")</f>
        <v>1</v>
      </c>
      <c r="F2" s="6" t="n">
        <f aca="false">COUNTIFS(卡表108!$D$2:$D$109,C2,卡表108!$B$2:$B$109,"水")</f>
        <v>1</v>
      </c>
      <c r="G2" s="7" t="n">
        <f aca="false">COUNTIFS(卡表108!$D$2:$D$109,C2,卡表108!$B$2:$B$109,"草")</f>
        <v>4</v>
      </c>
      <c r="H2" s="8" t="s">
        <v>12</v>
      </c>
      <c r="I2" s="4" t="s">
        <v>13</v>
      </c>
    </row>
    <row r="3" customFormat="false" ht="17.15" hidden="false" customHeight="false" outlineLevel="0" collapsed="false">
      <c r="A3" s="2" t="s">
        <v>14</v>
      </c>
      <c r="B3" s="3" t="s">
        <v>10</v>
      </c>
      <c r="C3" s="4" t="s">
        <v>15</v>
      </c>
      <c r="D3" s="2" t="n">
        <f aca="false">COUNTIF(卡表108!$D$2:$D$109,C3)</f>
        <v>3</v>
      </c>
      <c r="E3" s="5" t="n">
        <f aca="false">COUNTIFS(卡表108!$D$2:$D$109,C3,卡表108!$B$2:$B$109,"火")</f>
        <v>1</v>
      </c>
      <c r="F3" s="6" t="n">
        <f aca="false">COUNTIFS(卡表108!$D$2:$D$109,C3,卡表108!$B$2:$B$109,"水")</f>
        <v>2</v>
      </c>
      <c r="G3" s="7" t="n">
        <f aca="false">COUNTIFS(卡表108!$D$2:$D$109,C3,卡表108!$B$2:$B$109,"草")</f>
        <v>0</v>
      </c>
      <c r="H3" s="8" t="s">
        <v>16</v>
      </c>
      <c r="I3" s="4" t="s">
        <v>17</v>
      </c>
    </row>
    <row r="4" customFormat="false" ht="17.15" hidden="false" customHeight="false" outlineLevel="0" collapsed="false">
      <c r="A4" s="2" t="s">
        <v>18</v>
      </c>
      <c r="B4" s="3" t="s">
        <v>10</v>
      </c>
      <c r="C4" s="4" t="s">
        <v>19</v>
      </c>
      <c r="D4" s="2" t="n">
        <f aca="false">COUNTIF(卡表108!$D$2:$D$109,C4)</f>
        <v>2</v>
      </c>
      <c r="E4" s="5" t="n">
        <f aca="false">COUNTIFS(卡表108!$D$2:$D$109,C4,卡表108!$B$2:$B$109,"火")</f>
        <v>1</v>
      </c>
      <c r="F4" s="6" t="n">
        <f aca="false">COUNTIFS(卡表108!$D$2:$D$109,C4,卡表108!$B$2:$B$109,"水")</f>
        <v>0</v>
      </c>
      <c r="G4" s="7" t="n">
        <f aca="false">COUNTIFS(卡表108!$D$2:$D$109,C4,卡表108!$B$2:$B$109,"草")</f>
        <v>1</v>
      </c>
      <c r="H4" s="8" t="s">
        <v>20</v>
      </c>
      <c r="I4" s="4" t="s">
        <v>21</v>
      </c>
    </row>
    <row r="5" customFormat="false" ht="17.15" hidden="false" customHeight="false" outlineLevel="0" collapsed="false">
      <c r="A5" s="2" t="s">
        <v>22</v>
      </c>
      <c r="B5" s="3" t="s">
        <v>10</v>
      </c>
      <c r="C5" s="4" t="s">
        <v>23</v>
      </c>
      <c r="D5" s="2" t="n">
        <f aca="false">COUNTIF(卡表108!$D$2:$D$109,C5)</f>
        <v>2</v>
      </c>
      <c r="E5" s="5" t="n">
        <f aca="false">COUNTIFS(卡表108!$D$2:$D$109,C5,卡表108!$B$2:$B$109,"火")</f>
        <v>1</v>
      </c>
      <c r="F5" s="6" t="n">
        <f aca="false">COUNTIFS(卡表108!$D$2:$D$109,C5,卡表108!$B$2:$B$109,"水")</f>
        <v>1</v>
      </c>
      <c r="G5" s="7" t="n">
        <f aca="false">COUNTIFS(卡表108!$D$2:$D$109,C5,卡表108!$B$2:$B$109,"草")</f>
        <v>0</v>
      </c>
      <c r="H5" s="8" t="s">
        <v>24</v>
      </c>
      <c r="I5" s="4" t="s">
        <v>25</v>
      </c>
    </row>
    <row r="6" customFormat="false" ht="17.15" hidden="false" customHeight="false" outlineLevel="0" collapsed="false">
      <c r="A6" s="2" t="s">
        <v>26</v>
      </c>
      <c r="B6" s="3" t="s">
        <v>10</v>
      </c>
      <c r="C6" s="4" t="s">
        <v>27</v>
      </c>
      <c r="D6" s="2" t="n">
        <f aca="false">COUNTIF(卡表108!$D$2:$D$109,C6)</f>
        <v>2</v>
      </c>
      <c r="E6" s="5" t="n">
        <f aca="false">COUNTIFS(卡表108!$D$2:$D$109,C6,卡表108!$B$2:$B$109,"火")</f>
        <v>0</v>
      </c>
      <c r="F6" s="6" t="n">
        <f aca="false">COUNTIFS(卡表108!$D$2:$D$109,C6,卡表108!$B$2:$B$109,"水")</f>
        <v>1</v>
      </c>
      <c r="G6" s="7" t="n">
        <f aca="false">COUNTIFS(卡表108!$D$2:$D$109,C6,卡表108!$B$2:$B$109,"草")</f>
        <v>1</v>
      </c>
      <c r="H6" s="8" t="s">
        <v>28</v>
      </c>
      <c r="I6" s="4" t="s">
        <v>29</v>
      </c>
    </row>
    <row r="7" customFormat="false" ht="32.8" hidden="false" customHeight="false" outlineLevel="0" collapsed="false">
      <c r="A7" s="2" t="s">
        <v>30</v>
      </c>
      <c r="B7" s="3" t="s">
        <v>31</v>
      </c>
      <c r="C7" s="4" t="s">
        <v>32</v>
      </c>
      <c r="D7" s="2" t="n">
        <f aca="false">COUNTIF(卡表108!$D$2:$D$109,C7)</f>
        <v>5</v>
      </c>
      <c r="E7" s="5" t="n">
        <f aca="false">COUNTIFS(卡表108!$D$2:$D$109,C7,卡表108!$B$2:$B$109,"火")</f>
        <v>1</v>
      </c>
      <c r="F7" s="6" t="n">
        <f aca="false">COUNTIFS(卡表108!$D$2:$D$109,C7,卡表108!$B$2:$B$109,"水")</f>
        <v>2</v>
      </c>
      <c r="G7" s="7" t="n">
        <f aca="false">COUNTIFS(卡表108!$D$2:$D$109,C7,卡表108!$B$2:$B$109,"草")</f>
        <v>2</v>
      </c>
      <c r="H7" s="8" t="s">
        <v>33</v>
      </c>
      <c r="I7" s="4" t="s">
        <v>34</v>
      </c>
    </row>
    <row r="8" customFormat="false" ht="32.8" hidden="false" customHeight="false" outlineLevel="0" collapsed="false">
      <c r="A8" s="2" t="s">
        <v>35</v>
      </c>
      <c r="B8" s="3" t="s">
        <v>31</v>
      </c>
      <c r="C8" s="4" t="s">
        <v>36</v>
      </c>
      <c r="D8" s="2" t="n">
        <f aca="false">COUNTIF(卡表108!$D$2:$D$109,C8)</f>
        <v>5</v>
      </c>
      <c r="E8" s="5" t="n">
        <f aca="false">COUNTIFS(卡表108!$D$2:$D$109,C8,卡表108!$B$2:$B$109,"火")</f>
        <v>1</v>
      </c>
      <c r="F8" s="6" t="n">
        <f aca="false">COUNTIFS(卡表108!$D$2:$D$109,C8,卡表108!$B$2:$B$109,"水")</f>
        <v>2</v>
      </c>
      <c r="G8" s="7" t="n">
        <f aca="false">COUNTIFS(卡表108!$D$2:$D$109,C8,卡表108!$B$2:$B$109,"草")</f>
        <v>2</v>
      </c>
      <c r="H8" s="8" t="s">
        <v>37</v>
      </c>
      <c r="I8" s="4" t="s">
        <v>38</v>
      </c>
    </row>
    <row r="9" customFormat="false" ht="17.15" hidden="false" customHeight="false" outlineLevel="0" collapsed="false">
      <c r="A9" s="2" t="s">
        <v>39</v>
      </c>
      <c r="B9" s="3" t="s">
        <v>31</v>
      </c>
      <c r="C9" s="8" t="s">
        <v>40</v>
      </c>
      <c r="D9" s="2" t="n">
        <f aca="false">COUNTIF(卡表108!$D$2:$D$109,C9)</f>
        <v>2</v>
      </c>
      <c r="E9" s="5" t="n">
        <f aca="false">COUNTIFS(卡表108!$D$2:$D$109,C9,卡表108!$B$2:$B$109,"火")</f>
        <v>1</v>
      </c>
      <c r="F9" s="6" t="n">
        <f aca="false">COUNTIFS(卡表108!$D$2:$D$109,C9,卡表108!$B$2:$B$109,"水")</f>
        <v>0</v>
      </c>
      <c r="G9" s="7" t="n">
        <f aca="false">COUNTIFS(卡表108!$D$2:$D$109,C9,卡表108!$B$2:$B$109,"草")</f>
        <v>1</v>
      </c>
      <c r="H9" s="8" t="s">
        <v>41</v>
      </c>
      <c r="I9" s="4" t="s">
        <v>42</v>
      </c>
    </row>
    <row r="10" customFormat="false" ht="17.15" hidden="false" customHeight="false" outlineLevel="0" collapsed="false">
      <c r="A10" s="2" t="s">
        <v>43</v>
      </c>
      <c r="B10" s="3" t="s">
        <v>31</v>
      </c>
      <c r="C10" s="4" t="s">
        <v>44</v>
      </c>
      <c r="D10" s="2" t="n">
        <f aca="false">COUNTIF(卡表108!$D$2:$D$109,C10)</f>
        <v>2</v>
      </c>
      <c r="E10" s="5" t="n">
        <f aca="false">COUNTIFS(卡表108!$D$2:$D$109,C10,卡表108!$B$2:$B$109,"火")</f>
        <v>1</v>
      </c>
      <c r="F10" s="6" t="n">
        <f aca="false">COUNTIFS(卡表108!$D$2:$D$109,C10,卡表108!$B$2:$B$109,"水")</f>
        <v>1</v>
      </c>
      <c r="G10" s="7" t="n">
        <f aca="false">COUNTIFS(卡表108!$D$2:$D$109,C10,卡表108!$B$2:$B$109,"草")</f>
        <v>0</v>
      </c>
      <c r="H10" s="8" t="s">
        <v>45</v>
      </c>
      <c r="I10" s="4" t="s">
        <v>46</v>
      </c>
    </row>
    <row r="11" customFormat="false" ht="17.15" hidden="false" customHeight="false" outlineLevel="0" collapsed="false">
      <c r="A11" s="2" t="s">
        <v>47</v>
      </c>
      <c r="B11" s="3" t="s">
        <v>31</v>
      </c>
      <c r="C11" s="8" t="s">
        <v>48</v>
      </c>
      <c r="D11" s="2" t="n">
        <f aca="false">COUNTIF(卡表108!$D$2:$D$109,C11)</f>
        <v>2</v>
      </c>
      <c r="E11" s="5" t="n">
        <f aca="false">COUNTIFS(卡表108!$D$2:$D$109,C11,卡表108!$B$2:$B$109,"火")</f>
        <v>1</v>
      </c>
      <c r="F11" s="6" t="n">
        <f aca="false">COUNTIFS(卡表108!$D$2:$D$109,C11,卡表108!$B$2:$B$109,"水")</f>
        <v>0</v>
      </c>
      <c r="G11" s="7" t="n">
        <f aca="false">COUNTIFS(卡表108!$D$2:$D$109,C11,卡表108!$B$2:$B$109,"草")</f>
        <v>1</v>
      </c>
      <c r="H11" s="8" t="s">
        <v>49</v>
      </c>
      <c r="I11" s="4" t="s">
        <v>50</v>
      </c>
    </row>
    <row r="12" customFormat="false" ht="17.15" hidden="false" customHeight="false" outlineLevel="0" collapsed="false">
      <c r="A12" s="2" t="s">
        <v>51</v>
      </c>
      <c r="B12" s="3" t="s">
        <v>31</v>
      </c>
      <c r="C12" s="8" t="s">
        <v>52</v>
      </c>
      <c r="D12" s="2" t="n">
        <f aca="false">COUNTIF(卡表108!$D$2:$D$109,C12)</f>
        <v>2</v>
      </c>
      <c r="E12" s="5" t="n">
        <f aca="false">COUNTIFS(卡表108!$D$2:$D$109,C12,卡表108!$B$2:$B$109,"火")</f>
        <v>1</v>
      </c>
      <c r="F12" s="6" t="n">
        <f aca="false">COUNTIFS(卡表108!$D$2:$D$109,C12,卡表108!$B$2:$B$109,"水")</f>
        <v>0</v>
      </c>
      <c r="G12" s="7" t="n">
        <f aca="false">COUNTIFS(卡表108!$D$2:$D$109,C12,卡表108!$B$2:$B$109,"草")</f>
        <v>1</v>
      </c>
      <c r="H12" s="8" t="s">
        <v>53</v>
      </c>
      <c r="I12" s="4" t="s">
        <v>54</v>
      </c>
    </row>
    <row r="13" customFormat="false" ht="17.15" hidden="false" customHeight="false" outlineLevel="0" collapsed="false">
      <c r="A13" s="2" t="s">
        <v>55</v>
      </c>
      <c r="B13" s="3" t="s">
        <v>31</v>
      </c>
      <c r="C13" s="4" t="s">
        <v>56</v>
      </c>
      <c r="D13" s="2" t="n">
        <f aca="false">COUNTIF(卡表108!$D$2:$D$109,C13)</f>
        <v>2</v>
      </c>
      <c r="E13" s="5" t="n">
        <f aca="false">COUNTIFS(卡表108!$D$2:$D$109,C13,卡表108!$B$2:$B$109,"火")</f>
        <v>1</v>
      </c>
      <c r="F13" s="6" t="n">
        <f aca="false">COUNTIFS(卡表108!$D$2:$D$109,C13,卡表108!$B$2:$B$109,"水")</f>
        <v>1</v>
      </c>
      <c r="G13" s="7" t="n">
        <f aca="false">COUNTIFS(卡表108!$D$2:$D$109,C13,卡表108!$B$2:$B$109,"草")</f>
        <v>0</v>
      </c>
      <c r="H13" s="8" t="s">
        <v>57</v>
      </c>
      <c r="I13" s="4" t="s">
        <v>58</v>
      </c>
    </row>
    <row r="14" customFormat="false" ht="17.15" hidden="false" customHeight="false" outlineLevel="0" collapsed="false">
      <c r="A14" s="2" t="s">
        <v>59</v>
      </c>
      <c r="B14" s="3" t="s">
        <v>31</v>
      </c>
      <c r="C14" s="4" t="s">
        <v>60</v>
      </c>
      <c r="D14" s="2" t="n">
        <f aca="false">COUNTIF(卡表108!$D$2:$D$109,C14)</f>
        <v>2</v>
      </c>
      <c r="E14" s="5" t="n">
        <f aca="false">COUNTIFS(卡表108!$D$2:$D$109,C14,卡表108!$B$2:$B$109,"火")</f>
        <v>2</v>
      </c>
      <c r="F14" s="6" t="n">
        <f aca="false">COUNTIFS(卡表108!$D$2:$D$109,C14,卡表108!$B$2:$B$109,"水")</f>
        <v>0</v>
      </c>
      <c r="G14" s="7" t="n">
        <f aca="false">COUNTIFS(卡表108!$D$2:$D$109,C14,卡表108!$B$2:$B$109,"草")</f>
        <v>0</v>
      </c>
      <c r="H14" s="8" t="s">
        <v>61</v>
      </c>
      <c r="I14" s="4" t="s">
        <v>62</v>
      </c>
    </row>
    <row r="15" customFormat="false" ht="17.15" hidden="false" customHeight="false" outlineLevel="0" collapsed="false">
      <c r="A15" s="2" t="s">
        <v>63</v>
      </c>
      <c r="B15" s="3" t="s">
        <v>31</v>
      </c>
      <c r="C15" s="4" t="s">
        <v>64</v>
      </c>
      <c r="D15" s="2" t="n">
        <f aca="false">COUNTIF(卡表108!$D$2:$D$109,C15)</f>
        <v>2</v>
      </c>
      <c r="E15" s="5" t="n">
        <f aca="false">COUNTIFS(卡表108!$D$2:$D$109,C15,卡表108!$B$2:$B$109,"火")</f>
        <v>0</v>
      </c>
      <c r="F15" s="6" t="n">
        <f aca="false">COUNTIFS(卡表108!$D$2:$D$109,C15,卡表108!$B$2:$B$109,"水")</f>
        <v>0</v>
      </c>
      <c r="G15" s="7" t="n">
        <f aca="false">COUNTIFS(卡表108!$D$2:$D$109,C15,卡表108!$B$2:$B$109,"草")</f>
        <v>2</v>
      </c>
      <c r="H15" s="8" t="s">
        <v>65</v>
      </c>
      <c r="I15" s="4" t="s">
        <v>66</v>
      </c>
    </row>
    <row r="16" customFormat="false" ht="17.15" hidden="false" customHeight="false" outlineLevel="0" collapsed="false">
      <c r="A16" s="2" t="s">
        <v>67</v>
      </c>
      <c r="B16" s="3" t="s">
        <v>31</v>
      </c>
      <c r="C16" s="4" t="s">
        <v>68</v>
      </c>
      <c r="D16" s="2" t="n">
        <f aca="false">COUNTIF(卡表108!$D$2:$D$109,C16)</f>
        <v>2</v>
      </c>
      <c r="E16" s="5" t="n">
        <f aca="false">COUNTIFS(卡表108!$D$2:$D$109,C16,卡表108!$B$2:$B$109,"火")</f>
        <v>0</v>
      </c>
      <c r="F16" s="6" t="n">
        <f aca="false">COUNTIFS(卡表108!$D$2:$D$109,C16,卡表108!$B$2:$B$109,"水")</f>
        <v>1</v>
      </c>
      <c r="G16" s="7" t="n">
        <f aca="false">COUNTIFS(卡表108!$D$2:$D$109,C16,卡表108!$B$2:$B$109,"草")</f>
        <v>1</v>
      </c>
      <c r="H16" s="8" t="s">
        <v>69</v>
      </c>
      <c r="I16" s="4" t="s">
        <v>29</v>
      </c>
    </row>
    <row r="17" customFormat="false" ht="17.15" hidden="false" customHeight="false" outlineLevel="0" collapsed="false">
      <c r="A17" s="2" t="s">
        <v>70</v>
      </c>
      <c r="B17" s="3" t="s">
        <v>31</v>
      </c>
      <c r="C17" s="4" t="s">
        <v>71</v>
      </c>
      <c r="D17" s="2" t="n">
        <f aca="false">COUNTIF(卡表108!$D$2:$D$109,C17)</f>
        <v>2</v>
      </c>
      <c r="E17" s="5" t="n">
        <f aca="false">COUNTIFS(卡表108!$D$2:$D$109,C17,卡表108!$B$2:$B$109,"火")</f>
        <v>0</v>
      </c>
      <c r="F17" s="6" t="n">
        <f aca="false">COUNTIFS(卡表108!$D$2:$D$109,C17,卡表108!$B$2:$B$109,"水")</f>
        <v>2</v>
      </c>
      <c r="G17" s="7" t="n">
        <f aca="false">COUNTIFS(卡表108!$D$2:$D$109,C17,卡表108!$B$2:$B$109,"草")</f>
        <v>0</v>
      </c>
      <c r="H17" s="8" t="s">
        <v>72</v>
      </c>
      <c r="I17" s="4" t="s">
        <v>73</v>
      </c>
    </row>
    <row r="18" customFormat="false" ht="17.15" hidden="false" customHeight="false" outlineLevel="0" collapsed="false">
      <c r="A18" s="2" t="s">
        <v>74</v>
      </c>
      <c r="B18" s="3" t="s">
        <v>31</v>
      </c>
      <c r="C18" s="4" t="s">
        <v>75</v>
      </c>
      <c r="D18" s="2" t="n">
        <f aca="false">COUNTIF(卡表108!$D$2:$D$109,C18)</f>
        <v>1</v>
      </c>
      <c r="E18" s="5" t="n">
        <f aca="false">COUNTIFS(卡表108!$D$2:$D$109,C18,卡表108!$B$2:$B$109,"火")</f>
        <v>0</v>
      </c>
      <c r="F18" s="6" t="n">
        <f aca="false">COUNTIFS(卡表108!$D$2:$D$109,C18,卡表108!$B$2:$B$109,"水")</f>
        <v>1</v>
      </c>
      <c r="G18" s="7" t="n">
        <f aca="false">COUNTIFS(卡表108!$D$2:$D$109,C18,卡表108!$B$2:$B$109,"草")</f>
        <v>0</v>
      </c>
      <c r="H18" s="8" t="s">
        <v>76</v>
      </c>
      <c r="I18" s="4" t="s">
        <v>77</v>
      </c>
    </row>
    <row r="19" customFormat="false" ht="32.8" hidden="false" customHeight="false" outlineLevel="0" collapsed="false">
      <c r="A19" s="2" t="s">
        <v>78</v>
      </c>
      <c r="B19" s="3" t="s">
        <v>79</v>
      </c>
      <c r="C19" s="4" t="s">
        <v>80</v>
      </c>
      <c r="D19" s="2" t="n">
        <f aca="false">COUNTIF(卡表108!$D$2:$D$109,C19)</f>
        <v>5</v>
      </c>
      <c r="E19" s="5" t="n">
        <f aca="false">COUNTIFS(卡表108!$D$2:$D$109,C19,卡表108!$B$2:$B$109,"火")</f>
        <v>3</v>
      </c>
      <c r="F19" s="6" t="n">
        <f aca="false">COUNTIFS(卡表108!$D$2:$D$109,C19,卡表108!$B$2:$B$109,"水")</f>
        <v>1</v>
      </c>
      <c r="G19" s="7" t="n">
        <f aca="false">COUNTIFS(卡表108!$D$2:$D$109,C19,卡表108!$B$2:$B$109,"草")</f>
        <v>1</v>
      </c>
      <c r="H19" s="8" t="s">
        <v>81</v>
      </c>
      <c r="I19" s="4" t="s">
        <v>82</v>
      </c>
    </row>
    <row r="20" customFormat="false" ht="17.15" hidden="false" customHeight="false" outlineLevel="0" collapsed="false">
      <c r="A20" s="2" t="s">
        <v>83</v>
      </c>
      <c r="B20" s="3" t="s">
        <v>79</v>
      </c>
      <c r="C20" s="4" t="s">
        <v>84</v>
      </c>
      <c r="D20" s="2" t="n">
        <f aca="false">COUNTIF(卡表108!$D$2:$D$109,C20)</f>
        <v>2</v>
      </c>
      <c r="E20" s="5" t="n">
        <f aca="false">COUNTIFS(卡表108!$D$2:$D$109,C20,卡表108!$B$2:$B$109,"火")</f>
        <v>1</v>
      </c>
      <c r="F20" s="6" t="n">
        <f aca="false">COUNTIFS(卡表108!$D$2:$D$109,C20,卡表108!$B$2:$B$109,"水")</f>
        <v>1</v>
      </c>
      <c r="G20" s="7" t="n">
        <f aca="false">COUNTIFS(卡表108!$D$2:$D$109,C20,卡表108!$B$2:$B$109,"草")</f>
        <v>0</v>
      </c>
      <c r="H20" s="8" t="s">
        <v>85</v>
      </c>
      <c r="I20" s="4" t="s">
        <v>86</v>
      </c>
    </row>
    <row r="21" customFormat="false" ht="17.15" hidden="false" customHeight="false" outlineLevel="0" collapsed="false">
      <c r="A21" s="2" t="s">
        <v>87</v>
      </c>
      <c r="B21" s="3" t="s">
        <v>79</v>
      </c>
      <c r="C21" s="4" t="s">
        <v>88</v>
      </c>
      <c r="D21" s="2" t="n">
        <f aca="false">COUNTIF(卡表108!$D$2:$D$109,C21)</f>
        <v>2</v>
      </c>
      <c r="E21" s="5" t="n">
        <f aca="false">COUNTIFS(卡表108!$D$2:$D$109,C21,卡表108!$B$2:$B$109,"火")</f>
        <v>2</v>
      </c>
      <c r="F21" s="6" t="n">
        <f aca="false">COUNTIFS(卡表108!$D$2:$D$109,C21,卡表108!$B$2:$B$109,"水")</f>
        <v>0</v>
      </c>
      <c r="G21" s="7" t="n">
        <f aca="false">COUNTIFS(卡表108!$D$2:$D$109,C21,卡表108!$B$2:$B$109,"草")</f>
        <v>0</v>
      </c>
      <c r="H21" s="8" t="s">
        <v>89</v>
      </c>
      <c r="I21" s="4" t="s">
        <v>90</v>
      </c>
    </row>
    <row r="22" customFormat="false" ht="17.15" hidden="false" customHeight="false" outlineLevel="0" collapsed="false">
      <c r="A22" s="2" t="s">
        <v>91</v>
      </c>
      <c r="B22" s="3" t="s">
        <v>79</v>
      </c>
      <c r="C22" s="4" t="s">
        <v>92</v>
      </c>
      <c r="D22" s="2" t="n">
        <f aca="false">COUNTIF(卡表108!$D$2:$D$109,C22)</f>
        <v>2</v>
      </c>
      <c r="E22" s="5" t="n">
        <f aca="false">COUNTIFS(卡表108!$D$2:$D$109,C22,卡表108!$B$2:$B$109,"火")</f>
        <v>0</v>
      </c>
      <c r="F22" s="6" t="n">
        <f aca="false">COUNTIFS(卡表108!$D$2:$D$109,C22,卡表108!$B$2:$B$109,"水")</f>
        <v>0</v>
      </c>
      <c r="G22" s="7" t="n">
        <f aca="false">COUNTIFS(卡表108!$D$2:$D$109,C22,卡表108!$B$2:$B$109,"草")</f>
        <v>2</v>
      </c>
      <c r="H22" s="8" t="s">
        <v>93</v>
      </c>
      <c r="I22" s="4" t="s">
        <v>94</v>
      </c>
    </row>
    <row r="23" customFormat="false" ht="17.15" hidden="false" customHeight="false" outlineLevel="0" collapsed="false">
      <c r="A23" s="2" t="s">
        <v>95</v>
      </c>
      <c r="B23" s="3" t="s">
        <v>79</v>
      </c>
      <c r="C23" s="4" t="s">
        <v>96</v>
      </c>
      <c r="D23" s="2" t="n">
        <f aca="false">COUNTIF(卡表108!$D$2:$D$109,C23)</f>
        <v>2</v>
      </c>
      <c r="E23" s="5" t="n">
        <f aca="false">COUNTIFS(卡表108!$D$2:$D$109,C23,卡表108!$B$2:$B$109,"火")</f>
        <v>0</v>
      </c>
      <c r="F23" s="6" t="n">
        <f aca="false">COUNTIFS(卡表108!$D$2:$D$109,C23,卡表108!$B$2:$B$109,"水")</f>
        <v>2</v>
      </c>
      <c r="G23" s="7" t="n">
        <f aca="false">COUNTIFS(卡表108!$D$2:$D$109,C23,卡表108!$B$2:$B$109,"草")</f>
        <v>0</v>
      </c>
      <c r="H23" s="8" t="s">
        <v>97</v>
      </c>
      <c r="I23" s="4" t="s">
        <v>98</v>
      </c>
    </row>
    <row r="24" customFormat="false" ht="17.15" hidden="false" customHeight="false" outlineLevel="0" collapsed="false">
      <c r="A24" s="2" t="s">
        <v>99</v>
      </c>
      <c r="B24" s="3" t="s">
        <v>79</v>
      </c>
      <c r="C24" s="4" t="s">
        <v>100</v>
      </c>
      <c r="D24" s="2" t="n">
        <f aca="false">COUNTIF(卡表108!$D$2:$D$109,C24)</f>
        <v>1</v>
      </c>
      <c r="E24" s="5" t="n">
        <f aca="false">COUNTIFS(卡表108!$D$2:$D$109,C24,卡表108!$B$2:$B$109,"火")</f>
        <v>0</v>
      </c>
      <c r="F24" s="6" t="n">
        <f aca="false">COUNTIFS(卡表108!$D$2:$D$109,C24,卡表108!$B$2:$B$109,"水")</f>
        <v>1</v>
      </c>
      <c r="G24" s="7" t="n">
        <f aca="false">COUNTIFS(卡表108!$D$2:$D$109,C24,卡表108!$B$2:$B$109,"草")</f>
        <v>0</v>
      </c>
      <c r="H24" s="8" t="s">
        <v>101</v>
      </c>
      <c r="I24" s="4" t="s">
        <v>102</v>
      </c>
    </row>
    <row r="25" customFormat="false" ht="17.15" hidden="false" customHeight="false" outlineLevel="0" collapsed="false">
      <c r="A25" s="2" t="s">
        <v>103</v>
      </c>
      <c r="B25" s="3" t="s">
        <v>104</v>
      </c>
      <c r="C25" s="4" t="s">
        <v>105</v>
      </c>
      <c r="D25" s="2" t="n">
        <f aca="false">COUNTIF(卡表108!$D$2:$D$109,C25)</f>
        <v>3</v>
      </c>
      <c r="E25" s="5" t="n">
        <f aca="false">COUNTIFS(卡表108!$D$2:$D$109,C25,卡表108!$B$2:$B$109,"火")</f>
        <v>1</v>
      </c>
      <c r="F25" s="6" t="n">
        <f aca="false">COUNTIFS(卡表108!$D$2:$D$109,C25,卡表108!$B$2:$B$109,"水")</f>
        <v>1</v>
      </c>
      <c r="G25" s="7" t="n">
        <f aca="false">COUNTIFS(卡表108!$D$2:$D$109,C25,卡表108!$B$2:$B$109,"草")</f>
        <v>1</v>
      </c>
      <c r="H25" s="8" t="s">
        <v>106</v>
      </c>
      <c r="I25" s="4" t="s">
        <v>107</v>
      </c>
    </row>
    <row r="26" customFormat="false" ht="17.15" hidden="false" customHeight="false" outlineLevel="0" collapsed="false">
      <c r="A26" s="2" t="s">
        <v>108</v>
      </c>
      <c r="B26" s="3" t="s">
        <v>104</v>
      </c>
      <c r="C26" s="4" t="s">
        <v>109</v>
      </c>
      <c r="D26" s="2" t="n">
        <f aca="false">COUNTIF(卡表108!$D$2:$D$109,C26)</f>
        <v>3</v>
      </c>
      <c r="E26" s="5" t="n">
        <f aca="false">COUNTIFS(卡表108!$D$2:$D$109,C26,卡表108!$B$2:$B$109,"火")</f>
        <v>0</v>
      </c>
      <c r="F26" s="6" t="n">
        <f aca="false">COUNTIFS(卡表108!$D$2:$D$109,C26,卡表108!$B$2:$B$109,"水")</f>
        <v>2</v>
      </c>
      <c r="G26" s="7" t="n">
        <f aca="false">COUNTIFS(卡表108!$D$2:$D$109,C26,卡表108!$B$2:$B$109,"草")</f>
        <v>1</v>
      </c>
      <c r="H26" s="8" t="s">
        <v>110</v>
      </c>
      <c r="I26" s="4" t="s">
        <v>111</v>
      </c>
    </row>
    <row r="27" customFormat="false" ht="17.15" hidden="false" customHeight="false" outlineLevel="0" collapsed="false">
      <c r="A27" s="2" t="s">
        <v>112</v>
      </c>
      <c r="B27" s="3" t="s">
        <v>104</v>
      </c>
      <c r="C27" s="4" t="s">
        <v>113</v>
      </c>
      <c r="D27" s="2" t="n">
        <f aca="false">COUNTIF(卡表108!$D$2:$D$109,C27)</f>
        <v>2</v>
      </c>
      <c r="E27" s="5" t="n">
        <f aca="false">COUNTIFS(卡表108!$D$2:$D$109,C27,卡表108!$B$2:$B$109,"火")</f>
        <v>2</v>
      </c>
      <c r="F27" s="6" t="n">
        <f aca="false">COUNTIFS(卡表108!$D$2:$D$109,C27,卡表108!$B$2:$B$109,"水")</f>
        <v>0</v>
      </c>
      <c r="G27" s="7" t="n">
        <f aca="false">COUNTIFS(卡表108!$D$2:$D$109,C27,卡表108!$B$2:$B$109,"草")</f>
        <v>0</v>
      </c>
      <c r="H27" s="8" t="s">
        <v>114</v>
      </c>
      <c r="I27" s="4" t="s">
        <v>90</v>
      </c>
    </row>
    <row r="28" customFormat="false" ht="17.15" hidden="false" customHeight="false" outlineLevel="0" collapsed="false">
      <c r="A28" s="2" t="s">
        <v>115</v>
      </c>
      <c r="B28" s="3" t="s">
        <v>104</v>
      </c>
      <c r="C28" s="4" t="s">
        <v>116</v>
      </c>
      <c r="D28" s="2" t="n">
        <f aca="false">COUNTIF(卡表108!$D$2:$D$109,C28)</f>
        <v>1</v>
      </c>
      <c r="E28" s="5" t="n">
        <f aca="false">COUNTIFS(卡表108!$D$2:$D$109,C28,卡表108!$B$2:$B$109,"火")</f>
        <v>1</v>
      </c>
      <c r="F28" s="6" t="n">
        <f aca="false">COUNTIFS(卡表108!$D$2:$D$109,C28,卡表108!$B$2:$B$109,"水")</f>
        <v>0</v>
      </c>
      <c r="G28" s="7" t="n">
        <f aca="false">COUNTIFS(卡表108!$D$2:$D$109,C28,卡表108!$B$2:$B$109,"草")</f>
        <v>0</v>
      </c>
      <c r="H28" s="8" t="s">
        <v>117</v>
      </c>
      <c r="I28" s="4" t="s">
        <v>118</v>
      </c>
    </row>
    <row r="29" customFormat="false" ht="17.15" hidden="false" customHeight="false" outlineLevel="0" collapsed="false">
      <c r="A29" s="2" t="s">
        <v>119</v>
      </c>
      <c r="B29" s="3" t="s">
        <v>104</v>
      </c>
      <c r="C29" s="4" t="s">
        <v>120</v>
      </c>
      <c r="D29" s="2" t="n">
        <f aca="false">COUNTIF(卡表108!$D$2:$D$109,C29)</f>
        <v>1</v>
      </c>
      <c r="E29" s="5" t="n">
        <f aca="false">COUNTIFS(卡表108!$D$2:$D$109,C29,卡表108!$B$2:$B$109,"火")</f>
        <v>0</v>
      </c>
      <c r="F29" s="6" t="n">
        <f aca="false">COUNTIFS(卡表108!$D$2:$D$109,C29,卡表108!$B$2:$B$109,"水")</f>
        <v>0</v>
      </c>
      <c r="G29" s="7" t="n">
        <f aca="false">COUNTIFS(卡表108!$D$2:$D$109,C29,卡表108!$B$2:$B$109,"草")</f>
        <v>1</v>
      </c>
      <c r="H29" s="8" t="s">
        <v>121</v>
      </c>
      <c r="I29" s="4" t="s">
        <v>122</v>
      </c>
    </row>
    <row r="30" customFormat="false" ht="17.15" hidden="false" customHeight="false" outlineLevel="0" collapsed="false">
      <c r="A30" s="2" t="s">
        <v>123</v>
      </c>
      <c r="B30" s="3" t="s">
        <v>104</v>
      </c>
      <c r="C30" s="4" t="s">
        <v>124</v>
      </c>
      <c r="D30" s="2" t="n">
        <f aca="false">COUNTIF(卡表108!$D$2:$D$109,C30)</f>
        <v>1</v>
      </c>
      <c r="E30" s="5" t="n">
        <f aca="false">COUNTIFS(卡表108!$D$2:$D$109,C30,卡表108!$B$2:$B$109,"火")</f>
        <v>0</v>
      </c>
      <c r="F30" s="6" t="n">
        <f aca="false">COUNTIFS(卡表108!$D$2:$D$109,C30,卡表108!$B$2:$B$109,"水")</f>
        <v>0</v>
      </c>
      <c r="G30" s="7" t="n">
        <f aca="false">COUNTIFS(卡表108!$D$2:$D$109,C30,卡表108!$B$2:$B$109,"草")</f>
        <v>1</v>
      </c>
      <c r="H30" s="8" t="s">
        <v>125</v>
      </c>
      <c r="I30" s="4" t="s">
        <v>126</v>
      </c>
    </row>
    <row r="31" customFormat="false" ht="17.15" hidden="false" customHeight="false" outlineLevel="0" collapsed="false">
      <c r="A31" s="2" t="s">
        <v>127</v>
      </c>
      <c r="B31" s="3" t="s">
        <v>104</v>
      </c>
      <c r="C31" s="4" t="s">
        <v>128</v>
      </c>
      <c r="D31" s="2" t="n">
        <f aca="false">COUNTIF(卡表108!$D$2:$D$109,C31)</f>
        <v>1</v>
      </c>
      <c r="E31" s="5" t="n">
        <f aca="false">COUNTIFS(卡表108!$D$2:$D$109,C31,卡表108!$B$2:$B$109,"火")</f>
        <v>0</v>
      </c>
      <c r="F31" s="6" t="n">
        <f aca="false">COUNTIFS(卡表108!$D$2:$D$109,C31,卡表108!$B$2:$B$109,"水")</f>
        <v>1</v>
      </c>
      <c r="G31" s="7" t="n">
        <f aca="false">COUNTIFS(卡表108!$D$2:$D$109,C31,卡表108!$B$2:$B$109,"草")</f>
        <v>0</v>
      </c>
      <c r="H31" s="8" t="s">
        <v>129</v>
      </c>
      <c r="I31" s="4" t="s">
        <v>130</v>
      </c>
    </row>
    <row r="32" customFormat="false" ht="17.15" hidden="false" customHeight="false" outlineLevel="0" collapsed="false">
      <c r="A32" s="2" t="s">
        <v>131</v>
      </c>
      <c r="B32" s="3" t="s">
        <v>104</v>
      </c>
      <c r="C32" s="4" t="s">
        <v>132</v>
      </c>
      <c r="D32" s="2" t="n">
        <f aca="false">COUNTIF(卡表108!$D$2:$D$109,C32)</f>
        <v>1</v>
      </c>
      <c r="E32" s="5" t="n">
        <f aca="false">COUNTIFS(卡表108!$D$2:$D$109,C32,卡表108!$B$2:$B$109,"火")</f>
        <v>0</v>
      </c>
      <c r="F32" s="6" t="n">
        <f aca="false">COUNTIFS(卡表108!$D$2:$D$109,C32,卡表108!$B$2:$B$109,"水")</f>
        <v>1</v>
      </c>
      <c r="G32" s="7" t="n">
        <f aca="false">COUNTIFS(卡表108!$D$2:$D$109,C32,卡表108!$B$2:$B$109,"草")</f>
        <v>0</v>
      </c>
      <c r="H32" s="8" t="s">
        <v>133</v>
      </c>
      <c r="I32" s="4" t="s">
        <v>98</v>
      </c>
    </row>
    <row r="33" customFormat="false" ht="17.15" hidden="false" customHeight="false" outlineLevel="0" collapsed="false">
      <c r="A33" s="2" t="s">
        <v>134</v>
      </c>
      <c r="B33" s="3" t="s">
        <v>135</v>
      </c>
      <c r="C33" s="4" t="s">
        <v>136</v>
      </c>
      <c r="D33" s="2" t="n">
        <f aca="false">COUNTIF(卡表108!$D$2:$D$109,C33)</f>
        <v>4</v>
      </c>
      <c r="E33" s="5" t="n">
        <f aca="false">COUNTIFS(卡表108!$D$2:$D$109,C33,卡表108!$B$2:$B$109,"火")</f>
        <v>1</v>
      </c>
      <c r="F33" s="6" t="n">
        <f aca="false">COUNTIFS(卡表108!$D$2:$D$109,C33,卡表108!$B$2:$B$109,"水")</f>
        <v>2</v>
      </c>
      <c r="G33" s="7" t="n">
        <f aca="false">COUNTIFS(卡表108!$D$2:$D$109,C33,卡表108!$B$2:$B$109,"草")</f>
        <v>1</v>
      </c>
      <c r="H33" s="8" t="s">
        <v>137</v>
      </c>
      <c r="I33" s="4" t="s">
        <v>138</v>
      </c>
    </row>
    <row r="34" customFormat="false" ht="17.15" hidden="false" customHeight="false" outlineLevel="0" collapsed="false">
      <c r="A34" s="2" t="s">
        <v>139</v>
      </c>
      <c r="B34" s="3" t="s">
        <v>135</v>
      </c>
      <c r="C34" s="4" t="s">
        <v>140</v>
      </c>
      <c r="D34" s="2" t="n">
        <f aca="false">COUNTIF(卡表108!$D$2:$D$109,C34)</f>
        <v>3</v>
      </c>
      <c r="E34" s="5" t="n">
        <f aca="false">COUNTIFS(卡表108!$D$2:$D$109,C34,卡表108!$B$2:$B$109,"火")</f>
        <v>0</v>
      </c>
      <c r="F34" s="6" t="n">
        <f aca="false">COUNTIFS(卡表108!$D$2:$D$109,C34,卡表108!$B$2:$B$109,"水")</f>
        <v>1</v>
      </c>
      <c r="G34" s="7" t="n">
        <f aca="false">COUNTIFS(卡表108!$D$2:$D$109,C34,卡表108!$B$2:$B$109,"草")</f>
        <v>2</v>
      </c>
      <c r="H34" s="8" t="s">
        <v>141</v>
      </c>
      <c r="I34" s="4" t="s">
        <v>142</v>
      </c>
    </row>
    <row r="35" customFormat="false" ht="17.15" hidden="false" customHeight="false" outlineLevel="0" collapsed="false">
      <c r="A35" s="2" t="s">
        <v>143</v>
      </c>
      <c r="B35" s="3" t="s">
        <v>135</v>
      </c>
      <c r="C35" s="4" t="s">
        <v>144</v>
      </c>
      <c r="D35" s="2" t="n">
        <f aca="false">COUNTIF(卡表108!$D$2:$D$109,C35)</f>
        <v>2</v>
      </c>
      <c r="E35" s="5" t="n">
        <f aca="false">COUNTIFS(卡表108!$D$2:$D$109,C35,卡表108!$B$2:$B$109,"火")</f>
        <v>2</v>
      </c>
      <c r="F35" s="6" t="n">
        <f aca="false">COUNTIFS(卡表108!$D$2:$D$109,C35,卡表108!$B$2:$B$109,"水")</f>
        <v>0</v>
      </c>
      <c r="G35" s="7" t="n">
        <f aca="false">COUNTIFS(卡表108!$D$2:$D$109,C35,卡表108!$B$2:$B$109,"草")</f>
        <v>0</v>
      </c>
      <c r="H35" s="8" t="s">
        <v>145</v>
      </c>
      <c r="I35" s="4" t="s">
        <v>146</v>
      </c>
    </row>
    <row r="36" customFormat="false" ht="17.15" hidden="false" customHeight="false" outlineLevel="0" collapsed="false">
      <c r="A36" s="2" t="s">
        <v>147</v>
      </c>
      <c r="B36" s="3" t="s">
        <v>135</v>
      </c>
      <c r="C36" s="4" t="s">
        <v>148</v>
      </c>
      <c r="D36" s="2" t="n">
        <f aca="false">COUNTIF(卡表108!$D$2:$D$109,C36)</f>
        <v>2</v>
      </c>
      <c r="E36" s="5" t="n">
        <f aca="false">COUNTIFS(卡表108!$D$2:$D$109,C36,卡表108!$B$2:$B$109,"火")</f>
        <v>0</v>
      </c>
      <c r="F36" s="6" t="n">
        <f aca="false">COUNTIFS(卡表108!$D$2:$D$109,C36,卡表108!$B$2:$B$109,"水")</f>
        <v>1</v>
      </c>
      <c r="G36" s="7" t="n">
        <f aca="false">COUNTIFS(卡表108!$D$2:$D$109,C36,卡表108!$B$2:$B$109,"草")</f>
        <v>1</v>
      </c>
      <c r="H36" s="8" t="s">
        <v>149</v>
      </c>
      <c r="I36" s="4" t="s">
        <v>150</v>
      </c>
    </row>
    <row r="37" customFormat="false" ht="17.15" hidden="false" customHeight="false" outlineLevel="0" collapsed="false">
      <c r="A37" s="2" t="s">
        <v>151</v>
      </c>
      <c r="B37" s="3" t="s">
        <v>135</v>
      </c>
      <c r="C37" s="4" t="s">
        <v>152</v>
      </c>
      <c r="D37" s="2" t="n">
        <f aca="false">COUNTIF(卡表108!$D$2:$D$109,C37)</f>
        <v>2</v>
      </c>
      <c r="E37" s="5" t="n">
        <f aca="false">COUNTIFS(卡表108!$D$2:$D$109,C37,卡表108!$B$2:$B$109,"火")</f>
        <v>0</v>
      </c>
      <c r="F37" s="6" t="n">
        <f aca="false">COUNTIFS(卡表108!$D$2:$D$109,C37,卡表108!$B$2:$B$109,"水")</f>
        <v>1</v>
      </c>
      <c r="G37" s="7" t="n">
        <f aca="false">COUNTIFS(卡表108!$D$2:$D$109,C37,卡表108!$B$2:$B$109,"草")</f>
        <v>1</v>
      </c>
      <c r="H37" s="8" t="s">
        <v>153</v>
      </c>
      <c r="I37" s="4" t="s">
        <v>154</v>
      </c>
    </row>
    <row r="38" customFormat="false" ht="17.15" hidden="false" customHeight="false" outlineLevel="0" collapsed="false">
      <c r="A38" s="2" t="s">
        <v>155</v>
      </c>
      <c r="B38" s="3" t="s">
        <v>156</v>
      </c>
      <c r="C38" s="4" t="s">
        <v>157</v>
      </c>
      <c r="D38" s="2" t="n">
        <f aca="false">COUNTIF(卡表108!$D$2:$D$109,C38)</f>
        <v>4</v>
      </c>
      <c r="E38" s="5" t="n">
        <f aca="false">COUNTIFS(卡表108!$D$2:$D$109,C38,卡表108!$B$2:$B$109,"火")</f>
        <v>2</v>
      </c>
      <c r="F38" s="6" t="n">
        <f aca="false">COUNTIFS(卡表108!$D$2:$D$109,C38,卡表108!$B$2:$B$109,"水")</f>
        <v>0</v>
      </c>
      <c r="G38" s="7" t="n">
        <f aca="false">COUNTIFS(卡表108!$D$2:$D$109,C38,卡表108!$B$2:$B$109,"草")</f>
        <v>2</v>
      </c>
      <c r="H38" s="8" t="s">
        <v>158</v>
      </c>
      <c r="I38" s="4" t="s">
        <v>159</v>
      </c>
    </row>
    <row r="39" customFormat="false" ht="17.15" hidden="false" customHeight="false" outlineLevel="0" collapsed="false">
      <c r="A39" s="2" t="s">
        <v>160</v>
      </c>
      <c r="B39" s="3" t="s">
        <v>156</v>
      </c>
      <c r="C39" s="4" t="s">
        <v>161</v>
      </c>
      <c r="D39" s="2" t="n">
        <f aca="false">COUNTIF(卡表108!$D$2:$D$109,C39)</f>
        <v>1</v>
      </c>
      <c r="E39" s="5" t="n">
        <f aca="false">COUNTIFS(卡表108!$D$2:$D$109,C39,卡表108!$B$2:$B$109,"火")</f>
        <v>1</v>
      </c>
      <c r="F39" s="6" t="n">
        <f aca="false">COUNTIFS(卡表108!$D$2:$D$109,C39,卡表108!$B$2:$B$109,"水")</f>
        <v>0</v>
      </c>
      <c r="G39" s="7" t="n">
        <f aca="false">COUNTIFS(卡表108!$D$2:$D$109,C39,卡表108!$B$2:$B$109,"草")</f>
        <v>0</v>
      </c>
      <c r="H39" s="8" t="s">
        <v>162</v>
      </c>
      <c r="I39" s="4" t="s">
        <v>163</v>
      </c>
    </row>
    <row r="40" customFormat="false" ht="17.15" hidden="false" customHeight="false" outlineLevel="0" collapsed="false">
      <c r="A40" s="2" t="s">
        <v>164</v>
      </c>
      <c r="B40" s="3" t="s">
        <v>156</v>
      </c>
      <c r="C40" s="4" t="s">
        <v>165</v>
      </c>
      <c r="D40" s="2" t="n">
        <f aca="false">COUNTIF(卡表108!$D$2:$D$109,C40)</f>
        <v>1</v>
      </c>
      <c r="E40" s="5" t="n">
        <f aca="false">COUNTIFS(卡表108!$D$2:$D$109,C40,卡表108!$B$2:$B$109,"火")</f>
        <v>0</v>
      </c>
      <c r="F40" s="6" t="n">
        <f aca="false">COUNTIFS(卡表108!$D$2:$D$109,C40,卡表108!$B$2:$B$109,"水")</f>
        <v>0</v>
      </c>
      <c r="G40" s="7" t="n">
        <f aca="false">COUNTIFS(卡表108!$D$2:$D$109,C40,卡表108!$B$2:$B$109,"草")</f>
        <v>1</v>
      </c>
      <c r="H40" s="8" t="s">
        <v>166</v>
      </c>
      <c r="I40" s="4" t="s">
        <v>167</v>
      </c>
    </row>
    <row r="41" customFormat="false" ht="17.15" hidden="false" customHeight="false" outlineLevel="0" collapsed="false">
      <c r="A41" s="2" t="s">
        <v>168</v>
      </c>
      <c r="B41" s="3" t="s">
        <v>169</v>
      </c>
      <c r="C41" s="4" t="s">
        <v>170</v>
      </c>
      <c r="D41" s="2" t="n">
        <f aca="false">COUNTIF(卡表108!$D$2:$D$109,C41)</f>
        <v>4</v>
      </c>
      <c r="E41" s="5" t="n">
        <f aca="false">COUNTIFS(卡表108!$D$2:$D$109,C41,卡表108!$B$2:$B$109,"火")</f>
        <v>1</v>
      </c>
      <c r="F41" s="6" t="n">
        <f aca="false">COUNTIFS(卡表108!$D$2:$D$109,C41,卡表108!$B$2:$B$109,"水")</f>
        <v>1</v>
      </c>
      <c r="G41" s="7" t="n">
        <f aca="false">COUNTIFS(卡表108!$D$2:$D$109,C41,卡表108!$B$2:$B$109,"草")</f>
        <v>2</v>
      </c>
      <c r="H41" s="8" t="s">
        <v>171</v>
      </c>
      <c r="I41" s="4" t="s">
        <v>172</v>
      </c>
    </row>
    <row r="42" customFormat="false" ht="17.15" hidden="false" customHeight="false" outlineLevel="0" collapsed="false">
      <c r="A42" s="2" t="s">
        <v>173</v>
      </c>
      <c r="B42" s="3" t="s">
        <v>169</v>
      </c>
      <c r="C42" s="4" t="s">
        <v>174</v>
      </c>
      <c r="D42" s="2" t="n">
        <f aca="false">COUNTIF(卡表108!$D$2:$D$109,C42)</f>
        <v>3</v>
      </c>
      <c r="E42" s="5" t="n">
        <f aca="false">COUNTIFS(卡表108!$D$2:$D$109,C42,卡表108!$B$2:$B$109,"火")</f>
        <v>1</v>
      </c>
      <c r="F42" s="6" t="n">
        <f aca="false">COUNTIFS(卡表108!$D$2:$D$109,C42,卡表108!$B$2:$B$109,"水")</f>
        <v>1</v>
      </c>
      <c r="G42" s="7" t="n">
        <f aca="false">COUNTIFS(卡表108!$D$2:$D$109,C42,卡表108!$B$2:$B$109,"草")</f>
        <v>1</v>
      </c>
      <c r="H42" s="8" t="s">
        <v>175</v>
      </c>
      <c r="I42" s="4" t="s">
        <v>176</v>
      </c>
    </row>
    <row r="43" customFormat="false" ht="17.15" hidden="false" customHeight="false" outlineLevel="0" collapsed="false">
      <c r="A43" s="2" t="s">
        <v>177</v>
      </c>
      <c r="B43" s="3" t="s">
        <v>169</v>
      </c>
      <c r="C43" s="4" t="s">
        <v>178</v>
      </c>
      <c r="D43" s="2" t="n">
        <f aca="false">COUNTIF(卡表108!$D$2:$D$109,C43)</f>
        <v>3</v>
      </c>
      <c r="E43" s="5" t="n">
        <f aca="false">COUNTIFS(卡表108!$D$2:$D$109,C43,卡表108!$B$2:$B$109,"火")</f>
        <v>1</v>
      </c>
      <c r="F43" s="6" t="n">
        <f aca="false">COUNTIFS(卡表108!$D$2:$D$109,C43,卡表108!$B$2:$B$109,"水")</f>
        <v>2</v>
      </c>
      <c r="G43" s="7" t="n">
        <f aca="false">COUNTIFS(卡表108!$D$2:$D$109,C43,卡表108!$B$2:$B$109,"草")</f>
        <v>0</v>
      </c>
      <c r="H43" s="8" t="s">
        <v>179</v>
      </c>
      <c r="I43" s="4" t="s">
        <v>180</v>
      </c>
    </row>
    <row r="44" customFormat="false" ht="17.15" hidden="false" customHeight="false" outlineLevel="0" collapsed="false">
      <c r="A44" s="2" t="s">
        <v>181</v>
      </c>
      <c r="B44" s="3" t="s">
        <v>169</v>
      </c>
      <c r="C44" s="4" t="s">
        <v>182</v>
      </c>
      <c r="D44" s="2" t="n">
        <f aca="false">COUNTIF(卡表108!$D$2:$D$109,C44)</f>
        <v>2</v>
      </c>
      <c r="E44" s="5" t="n">
        <f aca="false">COUNTIFS(卡表108!$D$2:$D$109,C44,卡表108!$B$2:$B$109,"火")</f>
        <v>1</v>
      </c>
      <c r="F44" s="6" t="n">
        <f aca="false">COUNTIFS(卡表108!$D$2:$D$109,C44,卡表108!$B$2:$B$109,"水")</f>
        <v>1</v>
      </c>
      <c r="G44" s="7" t="n">
        <f aca="false">COUNTIFS(卡表108!$D$2:$D$109,C44,卡表108!$B$2:$B$109,"草")</f>
        <v>0</v>
      </c>
      <c r="H44" s="8" t="s">
        <v>183</v>
      </c>
      <c r="I44" s="4" t="s">
        <v>184</v>
      </c>
    </row>
    <row r="45" customFormat="false" ht="17.15" hidden="false" customHeight="false" outlineLevel="0" collapsed="false">
      <c r="A45" s="2" t="s">
        <v>185</v>
      </c>
      <c r="B45" s="3" t="s">
        <v>186</v>
      </c>
      <c r="C45" s="4" t="s">
        <v>187</v>
      </c>
      <c r="D45" s="2" t="n">
        <f aca="false">COUNTIF(卡表108!$D$2:$D$109,C45)</f>
        <v>2</v>
      </c>
      <c r="E45" s="5" t="n">
        <f aca="false">COUNTIFS(卡表108!$D$2:$D$109,C45,卡表108!$B$2:$B$109,"火")</f>
        <v>1</v>
      </c>
      <c r="F45" s="6" t="n">
        <f aca="false">COUNTIFS(卡表108!$D$2:$D$109,C45,卡表108!$B$2:$B$109,"水")</f>
        <v>0</v>
      </c>
      <c r="G45" s="7" t="n">
        <f aca="false">COUNTIFS(卡表108!$D$2:$D$109,C45,卡表108!$B$2:$B$109,"草")</f>
        <v>1</v>
      </c>
      <c r="H45" s="8" t="s">
        <v>188</v>
      </c>
      <c r="I45" s="4" t="s">
        <v>189</v>
      </c>
    </row>
    <row r="46" customFormat="false" ht="17.15" hidden="false" customHeight="false" outlineLevel="0" collapsed="false">
      <c r="A46" s="2" t="s">
        <v>190</v>
      </c>
      <c r="B46" s="3" t="s">
        <v>186</v>
      </c>
      <c r="C46" s="4" t="s">
        <v>191</v>
      </c>
      <c r="D46" s="2" t="n">
        <f aca="false">COUNTIF(卡表108!$D$2:$D$109,C46)</f>
        <v>1</v>
      </c>
      <c r="E46" s="5" t="n">
        <f aca="false">COUNTIFS(卡表108!$D$2:$D$109,C46,卡表108!$B$2:$B$109,"火")</f>
        <v>1</v>
      </c>
      <c r="F46" s="6" t="n">
        <f aca="false">COUNTIFS(卡表108!$D$2:$D$109,C46,卡表108!$B$2:$B$109,"水")</f>
        <v>0</v>
      </c>
      <c r="G46" s="7" t="n">
        <f aca="false">COUNTIFS(卡表108!$D$2:$D$109,C46,卡表108!$B$2:$B$109,"草")</f>
        <v>0</v>
      </c>
      <c r="H46" s="8" t="s">
        <v>192</v>
      </c>
      <c r="I46" s="4" t="s">
        <v>118</v>
      </c>
    </row>
    <row r="47" customFormat="false" ht="17.15" hidden="false" customHeight="false" outlineLevel="0" collapsed="false">
      <c r="A47" s="2" t="s">
        <v>193</v>
      </c>
      <c r="B47" s="3" t="s">
        <v>186</v>
      </c>
      <c r="C47" s="4" t="s">
        <v>194</v>
      </c>
      <c r="D47" s="2" t="n">
        <f aca="false">COUNTIF(卡表108!$D$2:$D$109,C47)</f>
        <v>1</v>
      </c>
      <c r="E47" s="5" t="n">
        <f aca="false">COUNTIFS(卡表108!$D$2:$D$109,C47,卡表108!$B$2:$B$109,"火")</f>
        <v>0</v>
      </c>
      <c r="F47" s="6" t="n">
        <f aca="false">COUNTIFS(卡表108!$D$2:$D$109,C47,卡表108!$B$2:$B$109,"水")</f>
        <v>0</v>
      </c>
      <c r="G47" s="7" t="n">
        <f aca="false">COUNTIFS(卡表108!$D$2:$D$109,C47,卡表108!$B$2:$B$109,"草")</f>
        <v>1</v>
      </c>
      <c r="H47" s="8" t="s">
        <v>195</v>
      </c>
      <c r="I47" s="4" t="s">
        <v>196</v>
      </c>
    </row>
    <row r="48" customFormat="false" ht="17.15" hidden="false" customHeight="false" outlineLevel="0" collapsed="false">
      <c r="A48" s="2" t="s">
        <v>197</v>
      </c>
      <c r="B48" s="3" t="s">
        <v>198</v>
      </c>
      <c r="C48" s="4" t="s">
        <v>199</v>
      </c>
      <c r="D48" s="2" t="n">
        <f aca="false">COUNTIF(卡表108!$D$2:$D$109,C48)</f>
        <v>1</v>
      </c>
      <c r="E48" s="5" t="n">
        <f aca="false">COUNTIFS(卡表108!$D$2:$D$109,C48,卡表108!$B$2:$B$109,"火")</f>
        <v>1</v>
      </c>
      <c r="F48" s="6" t="n">
        <f aca="false">COUNTIFS(卡表108!$D$2:$D$109,C48,卡表108!$B$2:$B$109,"水")</f>
        <v>0</v>
      </c>
      <c r="G48" s="7" t="n">
        <f aca="false">COUNTIFS(卡表108!$D$2:$D$109,C48,卡表108!$B$2:$B$109,"草")</f>
        <v>0</v>
      </c>
      <c r="H48" s="8" t="s">
        <v>200</v>
      </c>
      <c r="I48" s="4" t="s">
        <v>201</v>
      </c>
    </row>
    <row r="49" customFormat="false" ht="17.15" hidden="false" customHeight="false" outlineLevel="0" collapsed="false">
      <c r="A49" s="2" t="s">
        <v>202</v>
      </c>
      <c r="B49" s="3" t="s">
        <v>198</v>
      </c>
      <c r="C49" s="4" t="s">
        <v>203</v>
      </c>
      <c r="D49" s="2" t="n">
        <f aca="false">COUNTIF(卡表108!$D$2:$D$109,C49)</f>
        <v>1</v>
      </c>
      <c r="E49" s="5" t="n">
        <f aca="false">COUNTIFS(卡表108!$D$2:$D$109,C49,卡表108!$B$2:$B$109,"火")</f>
        <v>0</v>
      </c>
      <c r="F49" s="6" t="n">
        <f aca="false">COUNTIFS(卡表108!$D$2:$D$109,C49,卡表108!$B$2:$B$109,"水")</f>
        <v>1</v>
      </c>
      <c r="G49" s="7" t="n">
        <f aca="false">COUNTIFS(卡表108!$D$2:$D$109,C49,卡表108!$B$2:$B$109,"草")</f>
        <v>0</v>
      </c>
      <c r="H49" s="8" t="s">
        <v>204</v>
      </c>
      <c r="I49" s="4" t="s">
        <v>98</v>
      </c>
    </row>
    <row r="50" customFormat="false" ht="15" hidden="false" customHeight="false" outlineLevel="0" collapsed="false">
      <c r="C50" s="9" t="s">
        <v>205</v>
      </c>
      <c r="D50" s="10" t="n">
        <f aca="false">SUM(D2:D49)</f>
        <v>108</v>
      </c>
      <c r="E50" s="10" t="n">
        <f aca="false">SUM(E2:E49)</f>
        <v>36</v>
      </c>
      <c r="F50" s="10" t="n">
        <f aca="false">SUM(F2:F49)</f>
        <v>36</v>
      </c>
      <c r="G50" s="10" t="n">
        <f aca="false">SUM(G2:G49)</f>
        <v>36</v>
      </c>
    </row>
    <row r="52" customFormat="false" ht="17.15" hidden="false" customHeight="false" outlineLevel="0" collapsed="false">
      <c r="A52" s="11" t="s">
        <v>206</v>
      </c>
    </row>
  </sheetData>
  <autoFilter ref="A1:I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7" min="5" style="0" width="6"/>
    <col collapsed="false" customWidth="true" hidden="false" outlineLevel="0" max="8" min="8" style="0" width="34"/>
    <col collapsed="false" customWidth="true" hidden="false" outlineLevel="0" max="9" min="9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2.8" hidden="false" customHeight="false" outlineLevel="0" collapsed="false">
      <c r="A2" s="2" t="s">
        <v>207</v>
      </c>
      <c r="B2" s="3" t="s">
        <v>208</v>
      </c>
      <c r="C2" s="4" t="s">
        <v>209</v>
      </c>
      <c r="D2" s="2" t="n">
        <f aca="false">COUNTIF(卡表108!$E$2:$E$109,C2)</f>
        <v>5</v>
      </c>
      <c r="E2" s="5" t="n">
        <f aca="false">COUNTIFS(卡表108!$E$2:$E$109,C2,卡表108!$B$2:$B$109,"火")</f>
        <v>1</v>
      </c>
      <c r="F2" s="6" t="n">
        <f aca="false">COUNTIFS(卡表108!$E$2:$E$109,C2,卡表108!$B$2:$B$109,"水")</f>
        <v>2</v>
      </c>
      <c r="G2" s="7" t="n">
        <f aca="false">COUNTIFS(卡表108!$E$2:$E$109,C2,卡表108!$B$2:$B$109,"草")</f>
        <v>2</v>
      </c>
      <c r="H2" s="8" t="s">
        <v>210</v>
      </c>
      <c r="I2" s="4" t="s">
        <v>211</v>
      </c>
    </row>
    <row r="3" customFormat="false" ht="17.15" hidden="false" customHeight="false" outlineLevel="0" collapsed="false">
      <c r="A3" s="2" t="s">
        <v>212</v>
      </c>
      <c r="B3" s="3" t="s">
        <v>208</v>
      </c>
      <c r="C3" s="4" t="s">
        <v>213</v>
      </c>
      <c r="D3" s="2" t="n">
        <f aca="false">COUNTIF(卡表108!$E$2:$E$109,C3)</f>
        <v>3</v>
      </c>
      <c r="E3" s="5" t="n">
        <f aca="false">COUNTIFS(卡表108!$E$2:$E$109,C3,卡表108!$B$2:$B$109,"火")</f>
        <v>1</v>
      </c>
      <c r="F3" s="6" t="n">
        <f aca="false">COUNTIFS(卡表108!$E$2:$E$109,C3,卡表108!$B$2:$B$109,"水")</f>
        <v>0</v>
      </c>
      <c r="G3" s="7" t="n">
        <f aca="false">COUNTIFS(卡表108!$E$2:$E$109,C3,卡表108!$B$2:$B$109,"草")</f>
        <v>2</v>
      </c>
      <c r="H3" s="8" t="s">
        <v>214</v>
      </c>
      <c r="I3" s="4" t="s">
        <v>215</v>
      </c>
    </row>
    <row r="4" customFormat="false" ht="17.15" hidden="false" customHeight="false" outlineLevel="0" collapsed="false">
      <c r="A4" s="2" t="s">
        <v>216</v>
      </c>
      <c r="B4" s="3" t="s">
        <v>208</v>
      </c>
      <c r="C4" s="4" t="s">
        <v>217</v>
      </c>
      <c r="D4" s="2" t="n">
        <f aca="false">COUNTIF(卡表108!$E$2:$E$109,C4)</f>
        <v>3</v>
      </c>
      <c r="E4" s="5" t="n">
        <f aca="false">COUNTIFS(卡表108!$E$2:$E$109,C4,卡表108!$B$2:$B$109,"火")</f>
        <v>0</v>
      </c>
      <c r="F4" s="6" t="n">
        <f aca="false">COUNTIFS(卡表108!$E$2:$E$109,C4,卡表108!$B$2:$B$109,"水")</f>
        <v>1</v>
      </c>
      <c r="G4" s="7" t="n">
        <f aca="false">COUNTIFS(卡表108!$E$2:$E$109,C4,卡表108!$B$2:$B$109,"草")</f>
        <v>2</v>
      </c>
      <c r="H4" s="8" t="s">
        <v>218</v>
      </c>
      <c r="I4" s="4" t="s">
        <v>219</v>
      </c>
    </row>
    <row r="5" customFormat="false" ht="32.8" hidden="false" customHeight="false" outlineLevel="0" collapsed="false">
      <c r="A5" s="2" t="s">
        <v>220</v>
      </c>
      <c r="B5" s="3" t="s">
        <v>10</v>
      </c>
      <c r="C5" s="4" t="s">
        <v>221</v>
      </c>
      <c r="D5" s="2" t="n">
        <f aca="false">COUNTIF(卡表108!$E$2:$E$109,C5)</f>
        <v>6</v>
      </c>
      <c r="E5" s="5" t="n">
        <f aca="false">COUNTIFS(卡表108!$E$2:$E$109,C5,卡表108!$B$2:$B$109,"火")</f>
        <v>2</v>
      </c>
      <c r="F5" s="6" t="n">
        <f aca="false">COUNTIFS(卡表108!$E$2:$E$109,C5,卡表108!$B$2:$B$109,"水")</f>
        <v>2</v>
      </c>
      <c r="G5" s="7" t="n">
        <f aca="false">COUNTIFS(卡表108!$E$2:$E$109,C5,卡表108!$B$2:$B$109,"草")</f>
        <v>2</v>
      </c>
      <c r="H5" s="8" t="s">
        <v>222</v>
      </c>
      <c r="I5" s="4" t="s">
        <v>223</v>
      </c>
    </row>
    <row r="6" customFormat="false" ht="17.15" hidden="false" customHeight="false" outlineLevel="0" collapsed="false">
      <c r="A6" s="2" t="s">
        <v>224</v>
      </c>
      <c r="B6" s="3" t="s">
        <v>10</v>
      </c>
      <c r="C6" s="4" t="s">
        <v>225</v>
      </c>
      <c r="D6" s="2" t="n">
        <f aca="false">COUNTIF(卡表108!$E$2:$E$109,C6)</f>
        <v>5</v>
      </c>
      <c r="E6" s="5" t="n">
        <f aca="false">COUNTIFS(卡表108!$E$2:$E$109,C6,卡表108!$B$2:$B$109,"火")</f>
        <v>3</v>
      </c>
      <c r="F6" s="6" t="n">
        <f aca="false">COUNTIFS(卡表108!$E$2:$E$109,C6,卡表108!$B$2:$B$109,"水")</f>
        <v>0</v>
      </c>
      <c r="G6" s="7" t="n">
        <f aca="false">COUNTIFS(卡表108!$E$2:$E$109,C6,卡表108!$B$2:$B$109,"草")</f>
        <v>2</v>
      </c>
      <c r="H6" s="8" t="s">
        <v>226</v>
      </c>
      <c r="I6" s="4" t="s">
        <v>227</v>
      </c>
    </row>
    <row r="7" customFormat="false" ht="17.15" hidden="false" customHeight="false" outlineLevel="0" collapsed="false">
      <c r="A7" s="2" t="s">
        <v>228</v>
      </c>
      <c r="B7" s="3" t="s">
        <v>10</v>
      </c>
      <c r="C7" s="4" t="s">
        <v>229</v>
      </c>
      <c r="D7" s="2" t="n">
        <f aca="false">COUNTIF(卡表108!$E$2:$E$109,C7)</f>
        <v>3</v>
      </c>
      <c r="E7" s="5" t="n">
        <f aca="false">COUNTIFS(卡表108!$E$2:$E$109,C7,卡表108!$B$2:$B$109,"火")</f>
        <v>1</v>
      </c>
      <c r="F7" s="6" t="n">
        <f aca="false">COUNTIFS(卡表108!$E$2:$E$109,C7,卡表108!$B$2:$B$109,"水")</f>
        <v>2</v>
      </c>
      <c r="G7" s="7" t="n">
        <f aca="false">COUNTIFS(卡表108!$E$2:$E$109,C7,卡表108!$B$2:$B$109,"草")</f>
        <v>0</v>
      </c>
      <c r="H7" s="8" t="s">
        <v>230</v>
      </c>
      <c r="I7" s="4" t="s">
        <v>231</v>
      </c>
    </row>
    <row r="8" customFormat="false" ht="17.15" hidden="false" customHeight="false" outlineLevel="0" collapsed="false">
      <c r="A8" s="2" t="s">
        <v>232</v>
      </c>
      <c r="B8" s="3" t="s">
        <v>10</v>
      </c>
      <c r="C8" s="4" t="s">
        <v>233</v>
      </c>
      <c r="D8" s="2" t="n">
        <f aca="false">COUNTIF(卡表108!$E$2:$E$109,C8)</f>
        <v>3</v>
      </c>
      <c r="E8" s="5" t="n">
        <f aca="false">COUNTIFS(卡表108!$E$2:$E$109,C8,卡表108!$B$2:$B$109,"火")</f>
        <v>2</v>
      </c>
      <c r="F8" s="6" t="n">
        <f aca="false">COUNTIFS(卡表108!$E$2:$E$109,C8,卡表108!$B$2:$B$109,"水")</f>
        <v>0</v>
      </c>
      <c r="G8" s="7" t="n">
        <f aca="false">COUNTIFS(卡表108!$E$2:$E$109,C8,卡表108!$B$2:$B$109,"草")</f>
        <v>1</v>
      </c>
      <c r="H8" s="8" t="s">
        <v>234</v>
      </c>
      <c r="I8" s="4" t="s">
        <v>235</v>
      </c>
    </row>
    <row r="9" customFormat="false" ht="17.15" hidden="false" customHeight="false" outlineLevel="0" collapsed="false">
      <c r="A9" s="2" t="s">
        <v>236</v>
      </c>
      <c r="B9" s="3" t="s">
        <v>10</v>
      </c>
      <c r="C9" s="4" t="s">
        <v>237</v>
      </c>
      <c r="D9" s="2" t="n">
        <f aca="false">COUNTIF(卡表108!$E$2:$E$109,C9)</f>
        <v>2</v>
      </c>
      <c r="E9" s="5" t="n">
        <f aca="false">COUNTIFS(卡表108!$E$2:$E$109,C9,卡表108!$B$2:$B$109,"火")</f>
        <v>0</v>
      </c>
      <c r="F9" s="6" t="n">
        <f aca="false">COUNTIFS(卡表108!$E$2:$E$109,C9,卡表108!$B$2:$B$109,"水")</f>
        <v>1</v>
      </c>
      <c r="G9" s="7" t="n">
        <f aca="false">COUNTIFS(卡表108!$E$2:$E$109,C9,卡表108!$B$2:$B$109,"草")</f>
        <v>1</v>
      </c>
      <c r="H9" s="8" t="s">
        <v>238</v>
      </c>
      <c r="I9" s="4" t="s">
        <v>239</v>
      </c>
    </row>
    <row r="10" customFormat="false" ht="17.15" hidden="false" customHeight="false" outlineLevel="0" collapsed="false">
      <c r="A10" s="2" t="s">
        <v>240</v>
      </c>
      <c r="B10" s="3" t="s">
        <v>156</v>
      </c>
      <c r="C10" s="4" t="s">
        <v>241</v>
      </c>
      <c r="D10" s="2" t="n">
        <f aca="false">COUNTIF(卡表108!$E$2:$E$109,C10)</f>
        <v>5</v>
      </c>
      <c r="E10" s="5" t="n">
        <f aca="false">COUNTIFS(卡表108!$E$2:$E$109,C10,卡表108!$B$2:$B$109,"火")</f>
        <v>2</v>
      </c>
      <c r="F10" s="6" t="n">
        <f aca="false">COUNTIFS(卡表108!$E$2:$E$109,C10,卡表108!$B$2:$B$109,"水")</f>
        <v>1</v>
      </c>
      <c r="G10" s="7" t="n">
        <f aca="false">COUNTIFS(卡表108!$E$2:$E$109,C10,卡表108!$B$2:$B$109,"草")</f>
        <v>2</v>
      </c>
      <c r="H10" s="8" t="s">
        <v>242</v>
      </c>
      <c r="I10" s="4" t="s">
        <v>243</v>
      </c>
    </row>
    <row r="11" customFormat="false" ht="32.8" hidden="false" customHeight="false" outlineLevel="0" collapsed="false">
      <c r="A11" s="2" t="s">
        <v>244</v>
      </c>
      <c r="B11" s="3" t="s">
        <v>156</v>
      </c>
      <c r="C11" s="4" t="s">
        <v>245</v>
      </c>
      <c r="D11" s="2" t="n">
        <f aca="false">COUNTIF(卡表108!$E$2:$E$109,C11)</f>
        <v>5</v>
      </c>
      <c r="E11" s="5" t="n">
        <f aca="false">COUNTIFS(卡表108!$E$2:$E$109,C11,卡表108!$B$2:$B$109,"火")</f>
        <v>2</v>
      </c>
      <c r="F11" s="6" t="n">
        <f aca="false">COUNTIFS(卡表108!$E$2:$E$109,C11,卡表108!$B$2:$B$109,"水")</f>
        <v>2</v>
      </c>
      <c r="G11" s="7" t="n">
        <f aca="false">COUNTIFS(卡表108!$E$2:$E$109,C11,卡表108!$B$2:$B$109,"草")</f>
        <v>1</v>
      </c>
      <c r="H11" s="8" t="s">
        <v>246</v>
      </c>
      <c r="I11" s="4" t="s">
        <v>247</v>
      </c>
    </row>
    <row r="12" customFormat="false" ht="17.15" hidden="false" customHeight="false" outlineLevel="0" collapsed="false">
      <c r="A12" s="2" t="s">
        <v>248</v>
      </c>
      <c r="B12" s="3" t="s">
        <v>156</v>
      </c>
      <c r="C12" s="4" t="s">
        <v>249</v>
      </c>
      <c r="D12" s="2" t="n">
        <f aca="false">COUNTIF(卡表108!$E$2:$E$109,C12)</f>
        <v>3</v>
      </c>
      <c r="E12" s="5" t="n">
        <f aca="false">COUNTIFS(卡表108!$E$2:$E$109,C12,卡表108!$B$2:$B$109,"火")</f>
        <v>2</v>
      </c>
      <c r="F12" s="6" t="n">
        <f aca="false">COUNTIFS(卡表108!$E$2:$E$109,C12,卡表108!$B$2:$B$109,"水")</f>
        <v>1</v>
      </c>
      <c r="G12" s="7" t="n">
        <f aca="false">COUNTIFS(卡表108!$E$2:$E$109,C12,卡表108!$B$2:$B$109,"草")</f>
        <v>0</v>
      </c>
      <c r="H12" s="8" t="s">
        <v>250</v>
      </c>
      <c r="I12" s="4" t="s">
        <v>251</v>
      </c>
    </row>
    <row r="13" customFormat="false" ht="17.15" hidden="false" customHeight="false" outlineLevel="0" collapsed="false">
      <c r="A13" s="2" t="s">
        <v>252</v>
      </c>
      <c r="B13" s="3" t="s">
        <v>156</v>
      </c>
      <c r="C13" s="4" t="s">
        <v>253</v>
      </c>
      <c r="D13" s="2" t="n">
        <f aca="false">COUNTIF(卡表108!$E$2:$E$109,C13)</f>
        <v>3</v>
      </c>
      <c r="E13" s="5" t="n">
        <f aca="false">COUNTIFS(卡表108!$E$2:$E$109,C13,卡表108!$B$2:$B$109,"火")</f>
        <v>2</v>
      </c>
      <c r="F13" s="6" t="n">
        <f aca="false">COUNTIFS(卡表108!$E$2:$E$109,C13,卡表108!$B$2:$B$109,"水")</f>
        <v>1</v>
      </c>
      <c r="G13" s="7" t="n">
        <f aca="false">COUNTIFS(卡表108!$E$2:$E$109,C13,卡表108!$B$2:$B$109,"草")</f>
        <v>0</v>
      </c>
      <c r="H13" s="8" t="s">
        <v>254</v>
      </c>
      <c r="I13" s="4" t="s">
        <v>255</v>
      </c>
    </row>
    <row r="14" customFormat="false" ht="17.15" hidden="false" customHeight="false" outlineLevel="0" collapsed="false">
      <c r="A14" s="2" t="s">
        <v>256</v>
      </c>
      <c r="B14" s="3" t="s">
        <v>156</v>
      </c>
      <c r="C14" s="4" t="s">
        <v>257</v>
      </c>
      <c r="D14" s="2" t="n">
        <f aca="false">COUNTIF(卡表108!$E$2:$E$109,C14)</f>
        <v>3</v>
      </c>
      <c r="E14" s="5" t="n">
        <f aca="false">COUNTIFS(卡表108!$E$2:$E$109,C14,卡表108!$B$2:$B$109,"火")</f>
        <v>2</v>
      </c>
      <c r="F14" s="6" t="n">
        <f aca="false">COUNTIFS(卡表108!$E$2:$E$109,C14,卡表108!$B$2:$B$109,"水")</f>
        <v>0</v>
      </c>
      <c r="G14" s="7" t="n">
        <f aca="false">COUNTIFS(卡表108!$E$2:$E$109,C14,卡表108!$B$2:$B$109,"草")</f>
        <v>1</v>
      </c>
      <c r="H14" s="8" t="s">
        <v>258</v>
      </c>
      <c r="I14" s="4" t="s">
        <v>259</v>
      </c>
    </row>
    <row r="15" customFormat="false" ht="17.15" hidden="false" customHeight="false" outlineLevel="0" collapsed="false">
      <c r="A15" s="2" t="s">
        <v>260</v>
      </c>
      <c r="B15" s="3" t="s">
        <v>156</v>
      </c>
      <c r="C15" s="4" t="s">
        <v>261</v>
      </c>
      <c r="D15" s="2" t="n">
        <f aca="false">COUNTIF(卡表108!$E$2:$E$109,C15)</f>
        <v>3</v>
      </c>
      <c r="E15" s="5" t="n">
        <f aca="false">COUNTIFS(卡表108!$E$2:$E$109,C15,卡表108!$B$2:$B$109,"火")</f>
        <v>0</v>
      </c>
      <c r="F15" s="6" t="n">
        <f aca="false">COUNTIFS(卡表108!$E$2:$E$109,C15,卡表108!$B$2:$B$109,"水")</f>
        <v>3</v>
      </c>
      <c r="G15" s="7" t="n">
        <f aca="false">COUNTIFS(卡表108!$E$2:$E$109,C15,卡表108!$B$2:$B$109,"草")</f>
        <v>0</v>
      </c>
      <c r="H15" s="8" t="s">
        <v>262</v>
      </c>
      <c r="I15" s="4" t="s">
        <v>263</v>
      </c>
    </row>
    <row r="16" customFormat="false" ht="17.15" hidden="false" customHeight="false" outlineLevel="0" collapsed="false">
      <c r="A16" s="2" t="s">
        <v>264</v>
      </c>
      <c r="B16" s="3" t="s">
        <v>156</v>
      </c>
      <c r="C16" s="4" t="s">
        <v>265</v>
      </c>
      <c r="D16" s="2" t="n">
        <f aca="false">COUNTIF(卡表108!$E$2:$E$109,C16)</f>
        <v>1</v>
      </c>
      <c r="E16" s="5" t="n">
        <f aca="false">COUNTIFS(卡表108!$E$2:$E$109,C16,卡表108!$B$2:$B$109,"火")</f>
        <v>1</v>
      </c>
      <c r="F16" s="6" t="n">
        <f aca="false">COUNTIFS(卡表108!$E$2:$E$109,C16,卡表108!$B$2:$B$109,"水")</f>
        <v>0</v>
      </c>
      <c r="G16" s="7" t="n">
        <f aca="false">COUNTIFS(卡表108!$E$2:$E$109,C16,卡表108!$B$2:$B$109,"草")</f>
        <v>0</v>
      </c>
      <c r="H16" s="8" t="s">
        <v>266</v>
      </c>
      <c r="I16" s="4" t="s">
        <v>267</v>
      </c>
    </row>
    <row r="17" customFormat="false" ht="17.15" hidden="false" customHeight="false" outlineLevel="0" collapsed="false">
      <c r="A17" s="2" t="s">
        <v>268</v>
      </c>
      <c r="B17" s="3" t="s">
        <v>198</v>
      </c>
      <c r="C17" s="4" t="s">
        <v>269</v>
      </c>
      <c r="D17" s="2" t="n">
        <f aca="false">COUNTIF(卡表108!$E$2:$E$109,C17)</f>
        <v>3</v>
      </c>
      <c r="E17" s="5" t="n">
        <f aca="false">COUNTIFS(卡表108!$E$2:$E$109,C17,卡表108!$B$2:$B$109,"火")</f>
        <v>1</v>
      </c>
      <c r="F17" s="6" t="n">
        <f aca="false">COUNTIFS(卡表108!$E$2:$E$109,C17,卡表108!$B$2:$B$109,"水")</f>
        <v>2</v>
      </c>
      <c r="G17" s="7" t="n">
        <f aca="false">COUNTIFS(卡表108!$E$2:$E$109,C17,卡表108!$B$2:$B$109,"草")</f>
        <v>0</v>
      </c>
      <c r="H17" s="8" t="s">
        <v>270</v>
      </c>
      <c r="I17" s="4" t="s">
        <v>271</v>
      </c>
    </row>
    <row r="18" customFormat="false" ht="17.15" hidden="false" customHeight="false" outlineLevel="0" collapsed="false">
      <c r="A18" s="2" t="s">
        <v>272</v>
      </c>
      <c r="B18" s="3" t="s">
        <v>198</v>
      </c>
      <c r="C18" s="4" t="s">
        <v>273</v>
      </c>
      <c r="D18" s="2" t="n">
        <f aca="false">COUNTIF(卡表108!$E$2:$E$109,C18)</f>
        <v>1</v>
      </c>
      <c r="E18" s="5" t="n">
        <f aca="false">COUNTIFS(卡表108!$E$2:$E$109,C18,卡表108!$B$2:$B$109,"火")</f>
        <v>1</v>
      </c>
      <c r="F18" s="6" t="n">
        <f aca="false">COUNTIFS(卡表108!$E$2:$E$109,C18,卡表108!$B$2:$B$109,"水")</f>
        <v>0</v>
      </c>
      <c r="G18" s="7" t="n">
        <f aca="false">COUNTIFS(卡表108!$E$2:$E$109,C18,卡表108!$B$2:$B$109,"草")</f>
        <v>0</v>
      </c>
      <c r="H18" s="8" t="s">
        <v>274</v>
      </c>
      <c r="I18" s="4" t="s">
        <v>118</v>
      </c>
    </row>
    <row r="19" customFormat="false" ht="32.8" hidden="false" customHeight="false" outlineLevel="0" collapsed="false">
      <c r="A19" s="2" t="s">
        <v>275</v>
      </c>
      <c r="B19" s="3" t="s">
        <v>276</v>
      </c>
      <c r="C19" s="4" t="s">
        <v>277</v>
      </c>
      <c r="D19" s="2" t="n">
        <f aca="false">COUNTIF(卡表108!$E$2:$E$109,C19)</f>
        <v>5</v>
      </c>
      <c r="E19" s="5" t="n">
        <f aca="false">COUNTIFS(卡表108!$E$2:$E$109,C19,卡表108!$B$2:$B$109,"火")</f>
        <v>1</v>
      </c>
      <c r="F19" s="6" t="n">
        <f aca="false">COUNTIFS(卡表108!$E$2:$E$109,C19,卡表108!$B$2:$B$109,"水")</f>
        <v>2</v>
      </c>
      <c r="G19" s="7" t="n">
        <f aca="false">COUNTIFS(卡表108!$E$2:$E$109,C19,卡表108!$B$2:$B$109,"草")</f>
        <v>2</v>
      </c>
      <c r="H19" s="8" t="s">
        <v>278</v>
      </c>
      <c r="I19" s="4" t="s">
        <v>279</v>
      </c>
    </row>
    <row r="20" customFormat="false" ht="32.8" hidden="false" customHeight="false" outlineLevel="0" collapsed="false">
      <c r="A20" s="2" t="s">
        <v>280</v>
      </c>
      <c r="B20" s="3" t="s">
        <v>276</v>
      </c>
      <c r="C20" s="4" t="s">
        <v>281</v>
      </c>
      <c r="D20" s="2" t="n">
        <f aca="false">COUNTIF(卡表108!$E$2:$E$109,C20)</f>
        <v>5</v>
      </c>
      <c r="E20" s="5" t="n">
        <f aca="false">COUNTIFS(卡表108!$E$2:$E$109,C20,卡表108!$B$2:$B$109,"火")</f>
        <v>1</v>
      </c>
      <c r="F20" s="6" t="n">
        <f aca="false">COUNTIFS(卡表108!$E$2:$E$109,C20,卡表108!$B$2:$B$109,"水")</f>
        <v>2</v>
      </c>
      <c r="G20" s="7" t="n">
        <f aca="false">COUNTIFS(卡表108!$E$2:$E$109,C20,卡表108!$B$2:$B$109,"草")</f>
        <v>2</v>
      </c>
      <c r="H20" s="8" t="s">
        <v>282</v>
      </c>
      <c r="I20" s="4" t="s">
        <v>283</v>
      </c>
    </row>
    <row r="21" customFormat="false" ht="17.15" hidden="false" customHeight="false" outlineLevel="0" collapsed="false">
      <c r="A21" s="2" t="s">
        <v>284</v>
      </c>
      <c r="B21" s="3" t="s">
        <v>276</v>
      </c>
      <c r="C21" s="4" t="s">
        <v>285</v>
      </c>
      <c r="D21" s="2" t="n">
        <f aca="false">COUNTIF(卡表108!$E$2:$E$109,C21)</f>
        <v>4</v>
      </c>
      <c r="E21" s="5" t="n">
        <f aca="false">COUNTIFS(卡表108!$E$2:$E$109,C21,卡表108!$B$2:$B$109,"火")</f>
        <v>0</v>
      </c>
      <c r="F21" s="6" t="n">
        <f aca="false">COUNTIFS(卡表108!$E$2:$E$109,C21,卡表108!$B$2:$B$109,"水")</f>
        <v>2</v>
      </c>
      <c r="G21" s="7" t="n">
        <f aca="false">COUNTIFS(卡表108!$E$2:$E$109,C21,卡表108!$B$2:$B$109,"草")</f>
        <v>2</v>
      </c>
      <c r="H21" s="8" t="s">
        <v>286</v>
      </c>
      <c r="I21" s="4" t="s">
        <v>287</v>
      </c>
    </row>
    <row r="22" customFormat="false" ht="17.15" hidden="false" customHeight="false" outlineLevel="0" collapsed="false">
      <c r="A22" s="2" t="s">
        <v>288</v>
      </c>
      <c r="B22" s="3" t="s">
        <v>276</v>
      </c>
      <c r="C22" s="4" t="s">
        <v>289</v>
      </c>
      <c r="D22" s="2" t="n">
        <f aca="false">COUNTIF(卡表108!$E$2:$E$109,C22)</f>
        <v>3</v>
      </c>
      <c r="E22" s="5" t="n">
        <f aca="false">COUNTIFS(卡表108!$E$2:$E$109,C22,卡表108!$B$2:$B$109,"火")</f>
        <v>1</v>
      </c>
      <c r="F22" s="6" t="n">
        <f aca="false">COUNTIFS(卡表108!$E$2:$E$109,C22,卡表108!$B$2:$B$109,"水")</f>
        <v>2</v>
      </c>
      <c r="G22" s="7" t="n">
        <f aca="false">COUNTIFS(卡表108!$E$2:$E$109,C22,卡表108!$B$2:$B$109,"草")</f>
        <v>0</v>
      </c>
      <c r="H22" s="8" t="s">
        <v>290</v>
      </c>
      <c r="I22" s="4" t="s">
        <v>291</v>
      </c>
    </row>
    <row r="23" customFormat="false" ht="17.15" hidden="false" customHeight="false" outlineLevel="0" collapsed="false">
      <c r="A23" s="2" t="s">
        <v>292</v>
      </c>
      <c r="B23" s="3" t="s">
        <v>276</v>
      </c>
      <c r="C23" s="4" t="s">
        <v>293</v>
      </c>
      <c r="D23" s="2" t="n">
        <f aca="false">COUNTIF(卡表108!$E$2:$E$109,C23)</f>
        <v>3</v>
      </c>
      <c r="E23" s="5" t="n">
        <f aca="false">COUNTIFS(卡表108!$E$2:$E$109,C23,卡表108!$B$2:$B$109,"火")</f>
        <v>1</v>
      </c>
      <c r="F23" s="6" t="n">
        <f aca="false">COUNTIFS(卡表108!$E$2:$E$109,C23,卡表108!$B$2:$B$109,"水")</f>
        <v>1</v>
      </c>
      <c r="G23" s="7" t="n">
        <f aca="false">COUNTIFS(卡表108!$E$2:$E$109,C23,卡表108!$B$2:$B$109,"草")</f>
        <v>1</v>
      </c>
      <c r="H23" s="8" t="s">
        <v>294</v>
      </c>
      <c r="I23" s="4" t="s">
        <v>295</v>
      </c>
    </row>
    <row r="24" customFormat="false" ht="17.15" hidden="false" customHeight="false" outlineLevel="0" collapsed="false">
      <c r="A24" s="2" t="s">
        <v>296</v>
      </c>
      <c r="B24" s="3" t="s">
        <v>276</v>
      </c>
      <c r="C24" s="4" t="s">
        <v>297</v>
      </c>
      <c r="D24" s="2" t="n">
        <f aca="false">COUNTIF(卡表108!$E$2:$E$109,C24)</f>
        <v>2</v>
      </c>
      <c r="E24" s="5" t="n">
        <f aca="false">COUNTIFS(卡表108!$E$2:$E$109,C24,卡表108!$B$2:$B$109,"火")</f>
        <v>1</v>
      </c>
      <c r="F24" s="6" t="n">
        <f aca="false">COUNTIFS(卡表108!$E$2:$E$109,C24,卡表108!$B$2:$B$109,"水")</f>
        <v>1</v>
      </c>
      <c r="G24" s="7" t="n">
        <f aca="false">COUNTIFS(卡表108!$E$2:$E$109,C24,卡表108!$B$2:$B$109,"草")</f>
        <v>0</v>
      </c>
      <c r="H24" s="8" t="s">
        <v>298</v>
      </c>
      <c r="I24" s="4" t="s">
        <v>299</v>
      </c>
    </row>
    <row r="25" customFormat="false" ht="17.15" hidden="false" customHeight="false" outlineLevel="0" collapsed="false">
      <c r="A25" s="2" t="s">
        <v>300</v>
      </c>
      <c r="B25" s="3" t="s">
        <v>276</v>
      </c>
      <c r="C25" s="4" t="s">
        <v>301</v>
      </c>
      <c r="D25" s="2" t="n">
        <f aca="false">COUNTIF(卡表108!$E$2:$E$109,C25)</f>
        <v>1</v>
      </c>
      <c r="E25" s="5" t="n">
        <f aca="false">COUNTIFS(卡表108!$E$2:$E$109,C25,卡表108!$B$2:$B$109,"火")</f>
        <v>1</v>
      </c>
      <c r="F25" s="6" t="n">
        <f aca="false">COUNTIFS(卡表108!$E$2:$E$109,C25,卡表108!$B$2:$B$109,"水")</f>
        <v>0</v>
      </c>
      <c r="G25" s="7" t="n">
        <f aca="false">COUNTIFS(卡表108!$E$2:$E$109,C25,卡表108!$B$2:$B$109,"草")</f>
        <v>0</v>
      </c>
      <c r="H25" s="8" t="s">
        <v>302</v>
      </c>
      <c r="I25" s="4" t="s">
        <v>303</v>
      </c>
    </row>
    <row r="26" customFormat="false" ht="17.15" hidden="false" customHeight="false" outlineLevel="0" collapsed="false">
      <c r="A26" s="2" t="s">
        <v>304</v>
      </c>
      <c r="B26" s="3" t="s">
        <v>276</v>
      </c>
      <c r="C26" s="4" t="s">
        <v>305</v>
      </c>
      <c r="D26" s="2" t="n">
        <f aca="false">COUNTIF(卡表108!$E$2:$E$109,C26)</f>
        <v>1</v>
      </c>
      <c r="E26" s="5" t="n">
        <f aca="false">COUNTIFS(卡表108!$E$2:$E$109,C26,卡表108!$B$2:$B$109,"火")</f>
        <v>0</v>
      </c>
      <c r="F26" s="6" t="n">
        <f aca="false">COUNTIFS(卡表108!$E$2:$E$109,C26,卡表108!$B$2:$B$109,"水")</f>
        <v>0</v>
      </c>
      <c r="G26" s="7" t="n">
        <f aca="false">COUNTIFS(卡表108!$E$2:$E$109,C26,卡表108!$B$2:$B$109,"草")</f>
        <v>1</v>
      </c>
      <c r="H26" s="8" t="s">
        <v>306</v>
      </c>
      <c r="I26" s="4" t="s">
        <v>307</v>
      </c>
    </row>
    <row r="27" customFormat="false" ht="17.15" hidden="false" customHeight="false" outlineLevel="0" collapsed="false">
      <c r="A27" s="2" t="s">
        <v>308</v>
      </c>
      <c r="B27" s="3" t="s">
        <v>276</v>
      </c>
      <c r="C27" s="4" t="s">
        <v>309</v>
      </c>
      <c r="D27" s="2" t="n">
        <f aca="false">COUNTIF(卡表108!$E$2:$E$109,C27)</f>
        <v>1</v>
      </c>
      <c r="E27" s="5" t="n">
        <f aca="false">COUNTIFS(卡表108!$E$2:$E$109,C27,卡表108!$B$2:$B$109,"火")</f>
        <v>0</v>
      </c>
      <c r="F27" s="6" t="n">
        <f aca="false">COUNTIFS(卡表108!$E$2:$E$109,C27,卡表108!$B$2:$B$109,"水")</f>
        <v>0</v>
      </c>
      <c r="G27" s="7" t="n">
        <f aca="false">COUNTIFS(卡表108!$E$2:$E$109,C27,卡表108!$B$2:$B$109,"草")</f>
        <v>1</v>
      </c>
      <c r="H27" s="8" t="s">
        <v>310</v>
      </c>
      <c r="I27" s="4" t="s">
        <v>122</v>
      </c>
    </row>
    <row r="28" customFormat="false" ht="17.15" hidden="false" customHeight="false" outlineLevel="0" collapsed="false">
      <c r="A28" s="2" t="s">
        <v>311</v>
      </c>
      <c r="B28" s="3" t="s">
        <v>276</v>
      </c>
      <c r="C28" s="4" t="s">
        <v>312</v>
      </c>
      <c r="D28" s="2" t="n">
        <f aca="false">COUNTIF(卡表108!$E$2:$E$109,C28)</f>
        <v>1</v>
      </c>
      <c r="E28" s="5" t="n">
        <f aca="false">COUNTIFS(卡表108!$E$2:$E$109,C28,卡表108!$B$2:$B$109,"火")</f>
        <v>0</v>
      </c>
      <c r="F28" s="6" t="n">
        <f aca="false">COUNTIFS(卡表108!$E$2:$E$109,C28,卡表108!$B$2:$B$109,"水")</f>
        <v>1</v>
      </c>
      <c r="G28" s="7" t="n">
        <f aca="false">COUNTIFS(卡表108!$E$2:$E$109,C28,卡表108!$B$2:$B$109,"草")</f>
        <v>0</v>
      </c>
      <c r="H28" s="8" t="s">
        <v>313</v>
      </c>
      <c r="I28" s="4" t="s">
        <v>130</v>
      </c>
    </row>
    <row r="29" customFormat="false" ht="32.8" hidden="false" customHeight="false" outlineLevel="0" collapsed="false">
      <c r="A29" s="2" t="s">
        <v>314</v>
      </c>
      <c r="B29" s="3" t="s">
        <v>315</v>
      </c>
      <c r="C29" s="4" t="s">
        <v>316</v>
      </c>
      <c r="D29" s="2" t="n">
        <f aca="false">COUNTIF(卡表108!$E$2:$E$109,C29)</f>
        <v>7</v>
      </c>
      <c r="E29" s="5" t="n">
        <f aca="false">COUNTIFS(卡表108!$E$2:$E$109,C29,卡表108!$B$2:$B$109,"火")</f>
        <v>1</v>
      </c>
      <c r="F29" s="6" t="n">
        <f aca="false">COUNTIFS(卡表108!$E$2:$E$109,C29,卡表108!$B$2:$B$109,"水")</f>
        <v>1</v>
      </c>
      <c r="G29" s="7" t="n">
        <f aca="false">COUNTIFS(卡表108!$E$2:$E$109,C29,卡表108!$B$2:$B$109,"草")</f>
        <v>5</v>
      </c>
      <c r="H29" s="8" t="s">
        <v>317</v>
      </c>
      <c r="I29" s="4" t="s">
        <v>318</v>
      </c>
    </row>
    <row r="30" customFormat="false" ht="32.8" hidden="false" customHeight="false" outlineLevel="0" collapsed="false">
      <c r="A30" s="2" t="s">
        <v>319</v>
      </c>
      <c r="B30" s="3" t="s">
        <v>315</v>
      </c>
      <c r="C30" s="4" t="s">
        <v>320</v>
      </c>
      <c r="D30" s="2" t="n">
        <f aca="false">COUNTIF(卡表108!$E$2:$E$109,C30)</f>
        <v>5</v>
      </c>
      <c r="E30" s="5" t="n">
        <f aca="false">COUNTIFS(卡表108!$E$2:$E$109,C30,卡表108!$B$2:$B$109,"火")</f>
        <v>1</v>
      </c>
      <c r="F30" s="6" t="n">
        <f aca="false">COUNTIFS(卡表108!$E$2:$E$109,C30,卡表108!$B$2:$B$109,"水")</f>
        <v>1</v>
      </c>
      <c r="G30" s="7" t="n">
        <f aca="false">COUNTIFS(卡表108!$E$2:$E$109,C30,卡表108!$B$2:$B$109,"草")</f>
        <v>3</v>
      </c>
      <c r="H30" s="8" t="s">
        <v>321</v>
      </c>
      <c r="I30" s="4" t="s">
        <v>322</v>
      </c>
    </row>
    <row r="31" customFormat="false" ht="32.8" hidden="false" customHeight="false" outlineLevel="0" collapsed="false">
      <c r="A31" s="2" t="s">
        <v>323</v>
      </c>
      <c r="B31" s="3" t="s">
        <v>315</v>
      </c>
      <c r="C31" s="4" t="s">
        <v>324</v>
      </c>
      <c r="D31" s="2" t="n">
        <f aca="false">COUNTIF(卡表108!$E$2:$E$109,C31)</f>
        <v>5</v>
      </c>
      <c r="E31" s="5" t="n">
        <f aca="false">COUNTIFS(卡表108!$E$2:$E$109,C31,卡表108!$B$2:$B$109,"火")</f>
        <v>1</v>
      </c>
      <c r="F31" s="6" t="n">
        <f aca="false">COUNTIFS(卡表108!$E$2:$E$109,C31,卡表108!$B$2:$B$109,"水")</f>
        <v>1</v>
      </c>
      <c r="G31" s="7" t="n">
        <f aca="false">COUNTIFS(卡表108!$E$2:$E$109,C31,卡表108!$B$2:$B$109,"草")</f>
        <v>3</v>
      </c>
      <c r="H31" s="8" t="s">
        <v>325</v>
      </c>
      <c r="I31" s="4" t="s">
        <v>326</v>
      </c>
    </row>
    <row r="32" customFormat="false" ht="17.15" hidden="false" customHeight="false" outlineLevel="0" collapsed="false">
      <c r="A32" s="2" t="s">
        <v>327</v>
      </c>
      <c r="B32" s="3" t="s">
        <v>315</v>
      </c>
      <c r="C32" s="4" t="s">
        <v>328</v>
      </c>
      <c r="D32" s="2" t="n">
        <f aca="false">COUNTIF(卡表108!$E$2:$E$109,C32)</f>
        <v>4</v>
      </c>
      <c r="E32" s="5" t="n">
        <f aca="false">COUNTIFS(卡表108!$E$2:$E$109,C32,卡表108!$B$2:$B$109,"火")</f>
        <v>1</v>
      </c>
      <c r="F32" s="6" t="n">
        <f aca="false">COUNTIFS(卡表108!$E$2:$E$109,C32,卡表108!$B$2:$B$109,"水")</f>
        <v>3</v>
      </c>
      <c r="G32" s="7" t="n">
        <f aca="false">COUNTIFS(卡表108!$E$2:$E$109,C32,卡表108!$B$2:$B$109,"草")</f>
        <v>0</v>
      </c>
      <c r="H32" s="8" t="s">
        <v>329</v>
      </c>
      <c r="I32" s="4" t="s">
        <v>330</v>
      </c>
    </row>
    <row r="33" customFormat="false" ht="17.15" hidden="false" customHeight="false" outlineLevel="0" collapsed="false">
      <c r="A33" s="2" t="s">
        <v>331</v>
      </c>
      <c r="B33" s="3" t="s">
        <v>315</v>
      </c>
      <c r="C33" s="8" t="s">
        <v>332</v>
      </c>
      <c r="D33" s="2" t="n">
        <f aca="false">COUNTIF(卡表108!$E$2:$E$109,C33)</f>
        <v>3</v>
      </c>
      <c r="E33" s="5" t="n">
        <f aca="false">COUNTIFS(卡表108!$E$2:$E$109,C33,卡表108!$B$2:$B$109,"火")</f>
        <v>2</v>
      </c>
      <c r="F33" s="6" t="n">
        <f aca="false">COUNTIFS(卡表108!$E$2:$E$109,C33,卡表108!$B$2:$B$109,"水")</f>
        <v>1</v>
      </c>
      <c r="G33" s="7" t="n">
        <f aca="false">COUNTIFS(卡表108!$E$2:$E$109,C33,卡表108!$B$2:$B$109,"草")</f>
        <v>0</v>
      </c>
      <c r="H33" s="8" t="s">
        <v>333</v>
      </c>
      <c r="I33" s="4" t="s">
        <v>334</v>
      </c>
    </row>
    <row r="34" customFormat="false" ht="17.15" hidden="false" customHeight="false" outlineLevel="0" collapsed="false">
      <c r="A34" s="2" t="s">
        <v>335</v>
      </c>
      <c r="B34" s="3" t="s">
        <v>315</v>
      </c>
      <c r="C34" s="4" t="s">
        <v>336</v>
      </c>
      <c r="D34" s="2" t="n">
        <f aca="false">COUNTIF(卡表108!$E$2:$E$109,C34)</f>
        <v>1</v>
      </c>
      <c r="E34" s="5" t="n">
        <f aca="false">COUNTIFS(卡表108!$E$2:$E$109,C34,卡表108!$B$2:$B$109,"火")</f>
        <v>1</v>
      </c>
      <c r="F34" s="6" t="n">
        <f aca="false">COUNTIFS(卡表108!$E$2:$E$109,C34,卡表108!$B$2:$B$109,"水")</f>
        <v>0</v>
      </c>
      <c r="G34" s="7" t="n">
        <f aca="false">COUNTIFS(卡表108!$E$2:$E$109,C34,卡表108!$B$2:$B$109,"草")</f>
        <v>0</v>
      </c>
      <c r="H34" s="8" t="s">
        <v>337</v>
      </c>
      <c r="I34" s="4" t="s">
        <v>201</v>
      </c>
    </row>
    <row r="35" customFormat="false" ht="15" hidden="false" customHeight="false" outlineLevel="0" collapsed="false">
      <c r="C35" s="9" t="s">
        <v>205</v>
      </c>
      <c r="D35" s="10" t="n">
        <f aca="false">SUM(D2:D34)</f>
        <v>108</v>
      </c>
      <c r="E35" s="10" t="n">
        <f aca="false">SUM(E2:E34)</f>
        <v>36</v>
      </c>
      <c r="F35" s="10" t="n">
        <f aca="false">SUM(F2:F34)</f>
        <v>36</v>
      </c>
      <c r="G35" s="10" t="n">
        <f aca="false">SUM(G2:G34)</f>
        <v>36</v>
      </c>
    </row>
    <row r="37" customFormat="false" ht="17.15" hidden="false" customHeight="false" outlineLevel="0" collapsed="false">
      <c r="A37" s="11" t="s">
        <v>206</v>
      </c>
    </row>
  </sheetData>
  <autoFilter ref="A1:I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4" min="4" style="0" width="46"/>
    <col collapsed="false" customWidth="true" hidden="false" outlineLevel="0" max="5" min="5" style="0" width="52"/>
  </cols>
  <sheetData>
    <row r="1" customFormat="false" ht="24" hidden="false" customHeight="true" outlineLevel="0" collapsed="false">
      <c r="A1" s="1" t="s">
        <v>338</v>
      </c>
      <c r="B1" s="1" t="s">
        <v>339</v>
      </c>
      <c r="C1" s="1" t="s">
        <v>8</v>
      </c>
      <c r="D1" s="1" t="s">
        <v>340</v>
      </c>
      <c r="E1" s="1" t="s">
        <v>341</v>
      </c>
    </row>
    <row r="2" customFormat="false" ht="17.15" hidden="false" customHeight="false" outlineLevel="0" collapsed="false">
      <c r="A2" s="12" t="s">
        <v>274</v>
      </c>
      <c r="B2" s="13" t="s">
        <v>4</v>
      </c>
      <c r="C2" s="13" t="s">
        <v>118</v>
      </c>
      <c r="D2" s="13" t="s">
        <v>19</v>
      </c>
      <c r="E2" s="13" t="s">
        <v>342</v>
      </c>
    </row>
    <row r="3" customFormat="false" ht="17.15" hidden="false" customHeight="false" outlineLevel="0" collapsed="false">
      <c r="A3" s="12" t="s">
        <v>343</v>
      </c>
      <c r="B3" s="13" t="s">
        <v>4</v>
      </c>
      <c r="C3" s="13" t="s">
        <v>163</v>
      </c>
      <c r="D3" s="13" t="s">
        <v>344</v>
      </c>
      <c r="E3" s="13" t="s">
        <v>225</v>
      </c>
    </row>
    <row r="4" customFormat="false" ht="17.15" hidden="false" customHeight="false" outlineLevel="0" collapsed="false">
      <c r="A4" s="12" t="s">
        <v>345</v>
      </c>
      <c r="B4" s="13" t="s">
        <v>4</v>
      </c>
      <c r="C4" s="13" t="s">
        <v>201</v>
      </c>
      <c r="D4" s="13" t="s">
        <v>346</v>
      </c>
      <c r="E4" s="13" t="s">
        <v>347</v>
      </c>
    </row>
    <row r="5" customFormat="false" ht="17.15" hidden="false" customHeight="false" outlineLevel="0" collapsed="false">
      <c r="A5" s="12" t="s">
        <v>348</v>
      </c>
      <c r="B5" s="13" t="s">
        <v>4</v>
      </c>
      <c r="C5" s="13" t="s">
        <v>118</v>
      </c>
      <c r="D5" s="13" t="s">
        <v>15</v>
      </c>
      <c r="E5" s="13" t="s">
        <v>349</v>
      </c>
    </row>
    <row r="6" customFormat="false" ht="17.15" hidden="false" customHeight="false" outlineLevel="0" collapsed="false">
      <c r="A6" s="12" t="s">
        <v>200</v>
      </c>
      <c r="B6" s="13" t="s">
        <v>4</v>
      </c>
      <c r="C6" s="13" t="s">
        <v>201</v>
      </c>
      <c r="D6" s="13" t="s">
        <v>350</v>
      </c>
      <c r="E6" s="13" t="s">
        <v>225</v>
      </c>
    </row>
    <row r="7" customFormat="false" ht="17.15" hidden="false" customHeight="false" outlineLevel="0" collapsed="false">
      <c r="A7" s="12" t="s">
        <v>351</v>
      </c>
      <c r="B7" s="13" t="s">
        <v>4</v>
      </c>
      <c r="C7" s="13" t="s">
        <v>352</v>
      </c>
      <c r="D7" s="12" t="s">
        <v>353</v>
      </c>
      <c r="E7" s="13" t="s">
        <v>354</v>
      </c>
    </row>
    <row r="8" customFormat="false" ht="17.15" hidden="false" customHeight="false" outlineLevel="0" collapsed="false">
      <c r="A8" s="12" t="s">
        <v>302</v>
      </c>
      <c r="B8" s="13" t="s">
        <v>4</v>
      </c>
      <c r="C8" s="13" t="s">
        <v>303</v>
      </c>
      <c r="D8" s="13" t="s">
        <v>355</v>
      </c>
      <c r="E8" s="13" t="s">
        <v>356</v>
      </c>
    </row>
    <row r="9" customFormat="false" ht="17.15" hidden="false" customHeight="false" outlineLevel="0" collapsed="false">
      <c r="A9" s="12" t="s">
        <v>357</v>
      </c>
      <c r="B9" s="13" t="s">
        <v>4</v>
      </c>
      <c r="C9" s="13" t="s">
        <v>163</v>
      </c>
      <c r="D9" s="13" t="s">
        <v>358</v>
      </c>
      <c r="E9" s="13" t="s">
        <v>225</v>
      </c>
    </row>
    <row r="10" customFormat="false" ht="17.15" hidden="false" customHeight="false" outlineLevel="0" collapsed="false">
      <c r="A10" s="12" t="s">
        <v>359</v>
      </c>
      <c r="B10" s="13" t="s">
        <v>4</v>
      </c>
      <c r="C10" s="13" t="s">
        <v>352</v>
      </c>
      <c r="D10" s="13" t="s">
        <v>360</v>
      </c>
      <c r="E10" s="13" t="s">
        <v>241</v>
      </c>
    </row>
    <row r="11" customFormat="false" ht="17.15" hidden="false" customHeight="false" outlineLevel="0" collapsed="false">
      <c r="A11" s="12" t="s">
        <v>361</v>
      </c>
      <c r="B11" s="13" t="s">
        <v>4</v>
      </c>
      <c r="C11" s="13" t="s">
        <v>303</v>
      </c>
      <c r="D11" s="13" t="s">
        <v>362</v>
      </c>
      <c r="E11" s="13" t="s">
        <v>363</v>
      </c>
    </row>
    <row r="12" customFormat="false" ht="17.15" hidden="false" customHeight="false" outlineLevel="0" collapsed="false">
      <c r="A12" s="12" t="s">
        <v>266</v>
      </c>
      <c r="B12" s="13" t="s">
        <v>4</v>
      </c>
      <c r="C12" s="13" t="s">
        <v>267</v>
      </c>
      <c r="D12" s="13" t="s">
        <v>362</v>
      </c>
      <c r="E12" s="13" t="s">
        <v>265</v>
      </c>
    </row>
    <row r="13" customFormat="false" ht="17.15" hidden="false" customHeight="false" outlineLevel="0" collapsed="false">
      <c r="A13" s="12" t="s">
        <v>162</v>
      </c>
      <c r="B13" s="13" t="s">
        <v>4</v>
      </c>
      <c r="C13" s="13" t="s">
        <v>163</v>
      </c>
      <c r="D13" s="13" t="s">
        <v>364</v>
      </c>
      <c r="E13" s="13" t="s">
        <v>229</v>
      </c>
    </row>
    <row r="14" customFormat="false" ht="17.15" hidden="false" customHeight="false" outlineLevel="0" collapsed="false">
      <c r="A14" s="12" t="s">
        <v>365</v>
      </c>
      <c r="B14" s="13" t="s">
        <v>4</v>
      </c>
      <c r="C14" s="13" t="s">
        <v>303</v>
      </c>
      <c r="D14" s="13" t="s">
        <v>366</v>
      </c>
      <c r="E14" s="13" t="s">
        <v>245</v>
      </c>
    </row>
    <row r="15" customFormat="false" ht="17.15" hidden="false" customHeight="false" outlineLevel="0" collapsed="false">
      <c r="A15" s="12" t="s">
        <v>192</v>
      </c>
      <c r="B15" s="13" t="s">
        <v>4</v>
      </c>
      <c r="C15" s="13" t="s">
        <v>118</v>
      </c>
      <c r="D15" s="13" t="s">
        <v>367</v>
      </c>
      <c r="E15" s="12" t="s">
        <v>368</v>
      </c>
    </row>
    <row r="16" customFormat="false" ht="17.15" hidden="false" customHeight="false" outlineLevel="0" collapsed="false">
      <c r="A16" s="12" t="s">
        <v>369</v>
      </c>
      <c r="B16" s="13" t="s">
        <v>4</v>
      </c>
      <c r="C16" s="13" t="s">
        <v>352</v>
      </c>
      <c r="D16" s="13" t="s">
        <v>370</v>
      </c>
      <c r="E16" s="12" t="s">
        <v>368</v>
      </c>
    </row>
    <row r="17" customFormat="false" ht="17.15" hidden="false" customHeight="false" outlineLevel="0" collapsed="false">
      <c r="A17" s="12" t="s">
        <v>337</v>
      </c>
      <c r="B17" s="13" t="s">
        <v>4</v>
      </c>
      <c r="C17" s="13" t="s">
        <v>201</v>
      </c>
      <c r="D17" s="13" t="s">
        <v>371</v>
      </c>
      <c r="E17" s="13" t="s">
        <v>372</v>
      </c>
    </row>
    <row r="18" customFormat="false" ht="17.15" hidden="false" customHeight="false" outlineLevel="0" collapsed="false">
      <c r="A18" s="12" t="s">
        <v>373</v>
      </c>
      <c r="B18" s="13" t="s">
        <v>4</v>
      </c>
      <c r="C18" s="13" t="s">
        <v>267</v>
      </c>
      <c r="D18" s="13" t="s">
        <v>374</v>
      </c>
      <c r="E18" s="13" t="s">
        <v>241</v>
      </c>
    </row>
    <row r="19" customFormat="false" ht="17.15" hidden="false" customHeight="false" outlineLevel="0" collapsed="false">
      <c r="A19" s="12" t="s">
        <v>375</v>
      </c>
      <c r="B19" s="13" t="s">
        <v>4</v>
      </c>
      <c r="C19" s="13" t="s">
        <v>118</v>
      </c>
      <c r="D19" s="13" t="s">
        <v>376</v>
      </c>
      <c r="E19" s="13" t="s">
        <v>377</v>
      </c>
    </row>
    <row r="20" customFormat="false" ht="17.15" hidden="false" customHeight="false" outlineLevel="0" collapsed="false">
      <c r="A20" s="12" t="s">
        <v>378</v>
      </c>
      <c r="B20" s="13" t="s">
        <v>4</v>
      </c>
      <c r="C20" s="13" t="s">
        <v>303</v>
      </c>
      <c r="D20" s="13" t="s">
        <v>379</v>
      </c>
      <c r="E20" s="13" t="s">
        <v>380</v>
      </c>
    </row>
    <row r="21" customFormat="false" ht="17.15" hidden="false" customHeight="false" outlineLevel="0" collapsed="false">
      <c r="A21" s="12" t="s">
        <v>381</v>
      </c>
      <c r="B21" s="13" t="s">
        <v>4</v>
      </c>
      <c r="C21" s="13" t="s">
        <v>267</v>
      </c>
      <c r="D21" s="13" t="s">
        <v>382</v>
      </c>
      <c r="E21" s="13" t="s">
        <v>383</v>
      </c>
    </row>
    <row r="22" customFormat="false" ht="17.15" hidden="false" customHeight="false" outlineLevel="0" collapsed="false">
      <c r="A22" s="12" t="s">
        <v>384</v>
      </c>
      <c r="B22" s="13" t="s">
        <v>4</v>
      </c>
      <c r="C22" s="13" t="s">
        <v>303</v>
      </c>
      <c r="D22" s="13" t="s">
        <v>385</v>
      </c>
      <c r="E22" s="13" t="s">
        <v>386</v>
      </c>
    </row>
    <row r="23" customFormat="false" ht="17.15" hidden="false" customHeight="false" outlineLevel="0" collapsed="false">
      <c r="A23" s="12" t="s">
        <v>387</v>
      </c>
      <c r="B23" s="13" t="s">
        <v>4</v>
      </c>
      <c r="C23" s="13" t="s">
        <v>352</v>
      </c>
      <c r="D23" s="13" t="s">
        <v>388</v>
      </c>
      <c r="E23" s="13" t="s">
        <v>389</v>
      </c>
    </row>
    <row r="24" customFormat="false" ht="17.15" hidden="false" customHeight="false" outlineLevel="0" collapsed="false">
      <c r="A24" s="12" t="s">
        <v>390</v>
      </c>
      <c r="B24" s="13" t="s">
        <v>4</v>
      </c>
      <c r="C24" s="13" t="s">
        <v>267</v>
      </c>
      <c r="D24" s="13" t="s">
        <v>388</v>
      </c>
      <c r="E24" s="13" t="s">
        <v>391</v>
      </c>
    </row>
    <row r="25" customFormat="false" ht="17.15" hidden="false" customHeight="false" outlineLevel="0" collapsed="false">
      <c r="A25" s="12" t="s">
        <v>392</v>
      </c>
      <c r="B25" s="13" t="s">
        <v>4</v>
      </c>
      <c r="C25" s="13" t="s">
        <v>163</v>
      </c>
      <c r="D25" s="13" t="s">
        <v>385</v>
      </c>
      <c r="E25" s="13" t="s">
        <v>393</v>
      </c>
    </row>
    <row r="26" customFormat="false" ht="17.15" hidden="false" customHeight="false" outlineLevel="0" collapsed="false">
      <c r="A26" s="12" t="s">
        <v>394</v>
      </c>
      <c r="B26" s="13" t="s">
        <v>4</v>
      </c>
      <c r="C26" s="13" t="s">
        <v>267</v>
      </c>
      <c r="D26" s="13" t="s">
        <v>395</v>
      </c>
      <c r="E26" s="13" t="s">
        <v>396</v>
      </c>
    </row>
    <row r="27" customFormat="false" ht="17.15" hidden="false" customHeight="false" outlineLevel="0" collapsed="false">
      <c r="A27" s="12" t="s">
        <v>397</v>
      </c>
      <c r="B27" s="13" t="s">
        <v>4</v>
      </c>
      <c r="C27" s="13" t="s">
        <v>352</v>
      </c>
      <c r="D27" s="13" t="s">
        <v>395</v>
      </c>
      <c r="E27" s="13" t="s">
        <v>389</v>
      </c>
    </row>
    <row r="28" customFormat="false" ht="17.15" hidden="false" customHeight="false" outlineLevel="0" collapsed="false">
      <c r="A28" s="12" t="s">
        <v>117</v>
      </c>
      <c r="B28" s="13" t="s">
        <v>4</v>
      </c>
      <c r="C28" s="13" t="s">
        <v>118</v>
      </c>
      <c r="D28" s="13" t="s">
        <v>398</v>
      </c>
      <c r="E28" s="13" t="s">
        <v>257</v>
      </c>
    </row>
    <row r="29" customFormat="false" ht="17.15" hidden="false" customHeight="false" outlineLevel="0" collapsed="false">
      <c r="A29" s="12" t="s">
        <v>399</v>
      </c>
      <c r="B29" s="13" t="s">
        <v>4</v>
      </c>
      <c r="C29" s="13" t="s">
        <v>163</v>
      </c>
      <c r="D29" s="13" t="s">
        <v>400</v>
      </c>
      <c r="E29" s="13" t="s">
        <v>401</v>
      </c>
    </row>
    <row r="30" customFormat="false" ht="17.15" hidden="false" customHeight="false" outlineLevel="0" collapsed="false">
      <c r="A30" s="12" t="s">
        <v>402</v>
      </c>
      <c r="B30" s="13" t="s">
        <v>4</v>
      </c>
      <c r="C30" s="13" t="s">
        <v>201</v>
      </c>
      <c r="D30" s="13" t="s">
        <v>400</v>
      </c>
      <c r="E30" s="13" t="s">
        <v>403</v>
      </c>
    </row>
    <row r="31" customFormat="false" ht="17.15" hidden="false" customHeight="false" outlineLevel="0" collapsed="false">
      <c r="A31" s="12" t="s">
        <v>404</v>
      </c>
      <c r="B31" s="13" t="s">
        <v>4</v>
      </c>
      <c r="C31" s="13" t="s">
        <v>352</v>
      </c>
      <c r="D31" s="13" t="s">
        <v>385</v>
      </c>
      <c r="E31" s="13" t="s">
        <v>257</v>
      </c>
    </row>
    <row r="32" customFormat="false" ht="17.15" hidden="false" customHeight="false" outlineLevel="0" collapsed="false">
      <c r="A32" s="12" t="s">
        <v>405</v>
      </c>
      <c r="B32" s="13" t="s">
        <v>4</v>
      </c>
      <c r="C32" s="13" t="s">
        <v>201</v>
      </c>
      <c r="D32" s="13" t="s">
        <v>406</v>
      </c>
      <c r="E32" s="13" t="s">
        <v>245</v>
      </c>
    </row>
    <row r="33" customFormat="false" ht="17.15" hidden="false" customHeight="false" outlineLevel="0" collapsed="false">
      <c r="A33" s="12" t="s">
        <v>407</v>
      </c>
      <c r="B33" s="13" t="s">
        <v>4</v>
      </c>
      <c r="C33" s="13" t="s">
        <v>118</v>
      </c>
      <c r="D33" s="12" t="s">
        <v>408</v>
      </c>
      <c r="E33" s="13" t="s">
        <v>391</v>
      </c>
    </row>
    <row r="34" customFormat="false" ht="17.15" hidden="false" customHeight="false" outlineLevel="0" collapsed="false">
      <c r="A34" s="12" t="s">
        <v>409</v>
      </c>
      <c r="B34" s="13" t="s">
        <v>4</v>
      </c>
      <c r="C34" s="13" t="s">
        <v>163</v>
      </c>
      <c r="D34" s="12" t="s">
        <v>410</v>
      </c>
      <c r="E34" s="13" t="s">
        <v>363</v>
      </c>
    </row>
    <row r="35" customFormat="false" ht="17.15" hidden="false" customHeight="false" outlineLevel="0" collapsed="false">
      <c r="A35" s="12" t="s">
        <v>411</v>
      </c>
      <c r="B35" s="13" t="s">
        <v>4</v>
      </c>
      <c r="C35" s="13" t="s">
        <v>118</v>
      </c>
      <c r="D35" s="13" t="s">
        <v>412</v>
      </c>
      <c r="E35" s="13" t="s">
        <v>413</v>
      </c>
    </row>
    <row r="36" customFormat="false" ht="17.15" hidden="false" customHeight="false" outlineLevel="0" collapsed="false">
      <c r="A36" s="12" t="s">
        <v>414</v>
      </c>
      <c r="B36" s="13" t="s">
        <v>4</v>
      </c>
      <c r="C36" s="13" t="s">
        <v>163</v>
      </c>
      <c r="D36" s="13" t="s">
        <v>415</v>
      </c>
      <c r="E36" s="13" t="s">
        <v>396</v>
      </c>
    </row>
    <row r="37" customFormat="false" ht="17.15" hidden="false" customHeight="false" outlineLevel="0" collapsed="false">
      <c r="A37" s="12" t="s">
        <v>416</v>
      </c>
      <c r="B37" s="13" t="s">
        <v>4</v>
      </c>
      <c r="C37" s="13" t="s">
        <v>352</v>
      </c>
      <c r="D37" s="13" t="s">
        <v>415</v>
      </c>
      <c r="E37" s="13" t="s">
        <v>417</v>
      </c>
    </row>
    <row r="38" customFormat="false" ht="15" hidden="false" customHeight="false" outlineLevel="0" collapsed="false">
      <c r="A38" s="12" t="s">
        <v>418</v>
      </c>
      <c r="B38" s="13" t="s">
        <v>6</v>
      </c>
      <c r="C38" s="13" t="s">
        <v>419</v>
      </c>
      <c r="D38" s="13" t="s">
        <v>27</v>
      </c>
      <c r="E38" s="13" t="s">
        <v>225</v>
      </c>
    </row>
    <row r="39" customFormat="false" ht="17.15" hidden="false" customHeight="false" outlineLevel="0" collapsed="false">
      <c r="A39" s="12" t="s">
        <v>420</v>
      </c>
      <c r="B39" s="13" t="s">
        <v>6</v>
      </c>
      <c r="C39" s="13" t="s">
        <v>419</v>
      </c>
      <c r="D39" s="13" t="s">
        <v>19</v>
      </c>
      <c r="E39" s="13" t="s">
        <v>354</v>
      </c>
    </row>
    <row r="40" customFormat="false" ht="17.15" hidden="false" customHeight="false" outlineLevel="0" collapsed="false">
      <c r="A40" s="12" t="s">
        <v>421</v>
      </c>
      <c r="B40" s="13" t="s">
        <v>6</v>
      </c>
      <c r="C40" s="13" t="s">
        <v>126</v>
      </c>
      <c r="D40" s="13" t="s">
        <v>346</v>
      </c>
      <c r="E40" s="13" t="s">
        <v>422</v>
      </c>
    </row>
    <row r="41" customFormat="false" ht="17.15" hidden="false" customHeight="false" outlineLevel="0" collapsed="false">
      <c r="A41" s="12" t="s">
        <v>423</v>
      </c>
      <c r="B41" s="13" t="s">
        <v>6</v>
      </c>
      <c r="C41" s="13" t="s">
        <v>196</v>
      </c>
      <c r="D41" s="13" t="s">
        <v>346</v>
      </c>
      <c r="E41" s="13" t="s">
        <v>393</v>
      </c>
    </row>
    <row r="42" customFormat="false" ht="17.15" hidden="false" customHeight="false" outlineLevel="0" collapsed="false">
      <c r="A42" s="12" t="s">
        <v>424</v>
      </c>
      <c r="B42" s="13" t="s">
        <v>6</v>
      </c>
      <c r="C42" s="13" t="s">
        <v>167</v>
      </c>
      <c r="D42" s="13" t="s">
        <v>346</v>
      </c>
      <c r="E42" s="13" t="s">
        <v>396</v>
      </c>
    </row>
    <row r="43" customFormat="false" ht="17.15" hidden="false" customHeight="false" outlineLevel="0" collapsed="false">
      <c r="A43" s="12" t="s">
        <v>425</v>
      </c>
      <c r="B43" s="13" t="s">
        <v>6</v>
      </c>
      <c r="C43" s="13" t="s">
        <v>196</v>
      </c>
      <c r="D43" s="12" t="s">
        <v>353</v>
      </c>
      <c r="E43" s="13" t="s">
        <v>349</v>
      </c>
    </row>
    <row r="44" customFormat="false" ht="17.15" hidden="false" customHeight="false" outlineLevel="0" collapsed="false">
      <c r="A44" s="12" t="s">
        <v>306</v>
      </c>
      <c r="B44" s="13" t="s">
        <v>6</v>
      </c>
      <c r="C44" s="13" t="s">
        <v>307</v>
      </c>
      <c r="D44" s="13" t="s">
        <v>355</v>
      </c>
      <c r="E44" s="13" t="s">
        <v>426</v>
      </c>
    </row>
    <row r="45" customFormat="false" ht="17.15" hidden="false" customHeight="false" outlineLevel="0" collapsed="false">
      <c r="A45" s="12" t="s">
        <v>427</v>
      </c>
      <c r="B45" s="13" t="s">
        <v>6</v>
      </c>
      <c r="C45" s="13" t="s">
        <v>167</v>
      </c>
      <c r="D45" s="13" t="s">
        <v>355</v>
      </c>
      <c r="E45" s="13" t="s">
        <v>347</v>
      </c>
    </row>
    <row r="46" customFormat="false" ht="17.15" hidden="false" customHeight="false" outlineLevel="0" collapsed="false">
      <c r="A46" s="12" t="s">
        <v>428</v>
      </c>
      <c r="B46" s="13" t="s">
        <v>6</v>
      </c>
      <c r="C46" s="13" t="s">
        <v>126</v>
      </c>
      <c r="D46" s="13" t="s">
        <v>362</v>
      </c>
      <c r="E46" s="13" t="s">
        <v>401</v>
      </c>
    </row>
    <row r="47" customFormat="false" ht="17.15" hidden="false" customHeight="false" outlineLevel="0" collapsed="false">
      <c r="A47" s="12" t="s">
        <v>310</v>
      </c>
      <c r="B47" s="13" t="s">
        <v>6</v>
      </c>
      <c r="C47" s="13" t="s">
        <v>122</v>
      </c>
      <c r="D47" s="13" t="s">
        <v>362</v>
      </c>
      <c r="E47" s="13" t="s">
        <v>429</v>
      </c>
    </row>
    <row r="48" customFormat="false" ht="17.15" hidden="false" customHeight="false" outlineLevel="0" collapsed="false">
      <c r="A48" s="12" t="s">
        <v>166</v>
      </c>
      <c r="B48" s="13" t="s">
        <v>6</v>
      </c>
      <c r="C48" s="13" t="s">
        <v>167</v>
      </c>
      <c r="D48" s="13" t="s">
        <v>430</v>
      </c>
      <c r="E48" s="13" t="s">
        <v>237</v>
      </c>
    </row>
    <row r="49" customFormat="false" ht="17.15" hidden="false" customHeight="false" outlineLevel="0" collapsed="false">
      <c r="A49" s="12" t="s">
        <v>431</v>
      </c>
      <c r="B49" s="13" t="s">
        <v>6</v>
      </c>
      <c r="C49" s="13" t="s">
        <v>122</v>
      </c>
      <c r="D49" s="13" t="s">
        <v>432</v>
      </c>
      <c r="E49" s="13" t="s">
        <v>241</v>
      </c>
    </row>
    <row r="50" customFormat="false" ht="17.15" hidden="false" customHeight="false" outlineLevel="0" collapsed="false">
      <c r="A50" s="12" t="s">
        <v>195</v>
      </c>
      <c r="B50" s="13" t="s">
        <v>6</v>
      </c>
      <c r="C50" s="13" t="s">
        <v>196</v>
      </c>
      <c r="D50" s="13" t="s">
        <v>433</v>
      </c>
      <c r="E50" s="13" t="s">
        <v>417</v>
      </c>
    </row>
    <row r="51" customFormat="false" ht="17.15" hidden="false" customHeight="false" outlineLevel="0" collapsed="false">
      <c r="A51" s="12" t="s">
        <v>434</v>
      </c>
      <c r="B51" s="13" t="s">
        <v>6</v>
      </c>
      <c r="C51" s="13" t="s">
        <v>419</v>
      </c>
      <c r="D51" s="13" t="s">
        <v>370</v>
      </c>
      <c r="E51" s="13" t="s">
        <v>422</v>
      </c>
    </row>
    <row r="52" customFormat="false" ht="17.15" hidden="false" customHeight="false" outlineLevel="0" collapsed="false">
      <c r="A52" s="12" t="s">
        <v>435</v>
      </c>
      <c r="B52" s="13" t="s">
        <v>6</v>
      </c>
      <c r="C52" s="13" t="s">
        <v>122</v>
      </c>
      <c r="D52" s="13" t="s">
        <v>358</v>
      </c>
      <c r="E52" s="13" t="s">
        <v>417</v>
      </c>
    </row>
    <row r="53" customFormat="false" ht="17.15" hidden="false" customHeight="false" outlineLevel="0" collapsed="false">
      <c r="A53" s="12" t="s">
        <v>436</v>
      </c>
      <c r="B53" s="13" t="s">
        <v>6</v>
      </c>
      <c r="C53" s="13" t="s">
        <v>307</v>
      </c>
      <c r="D53" s="13" t="s">
        <v>371</v>
      </c>
      <c r="E53" s="13" t="s">
        <v>417</v>
      </c>
    </row>
    <row r="54" customFormat="false" ht="17.15" hidden="false" customHeight="false" outlineLevel="0" collapsed="false">
      <c r="A54" s="12" t="s">
        <v>437</v>
      </c>
      <c r="B54" s="13" t="s">
        <v>6</v>
      </c>
      <c r="C54" s="13" t="s">
        <v>167</v>
      </c>
      <c r="D54" s="13" t="s">
        <v>371</v>
      </c>
      <c r="E54" s="13" t="s">
        <v>383</v>
      </c>
    </row>
    <row r="55" customFormat="false" ht="17.15" hidden="false" customHeight="false" outlineLevel="0" collapsed="false">
      <c r="A55" s="12" t="s">
        <v>438</v>
      </c>
      <c r="B55" s="13" t="s">
        <v>6</v>
      </c>
      <c r="C55" s="13" t="s">
        <v>126</v>
      </c>
      <c r="D55" s="13" t="s">
        <v>379</v>
      </c>
      <c r="E55" s="13" t="s">
        <v>383</v>
      </c>
    </row>
    <row r="56" customFormat="false" ht="17.15" hidden="false" customHeight="false" outlineLevel="0" collapsed="false">
      <c r="A56" s="12" t="s">
        <v>439</v>
      </c>
      <c r="B56" s="13" t="s">
        <v>6</v>
      </c>
      <c r="C56" s="13" t="s">
        <v>126</v>
      </c>
      <c r="D56" s="13" t="s">
        <v>382</v>
      </c>
      <c r="E56" s="13" t="s">
        <v>396</v>
      </c>
    </row>
    <row r="57" customFormat="false" ht="17.15" hidden="false" customHeight="false" outlineLevel="0" collapsed="false">
      <c r="A57" s="12" t="s">
        <v>440</v>
      </c>
      <c r="B57" s="13" t="s">
        <v>6</v>
      </c>
      <c r="C57" s="13" t="s">
        <v>419</v>
      </c>
      <c r="D57" s="13" t="s">
        <v>358</v>
      </c>
      <c r="E57" s="13" t="s">
        <v>389</v>
      </c>
    </row>
    <row r="58" customFormat="false" ht="17.15" hidden="false" customHeight="false" outlineLevel="0" collapsed="false">
      <c r="A58" s="12" t="s">
        <v>121</v>
      </c>
      <c r="B58" s="13" t="s">
        <v>6</v>
      </c>
      <c r="C58" s="13" t="s">
        <v>122</v>
      </c>
      <c r="D58" s="13" t="s">
        <v>441</v>
      </c>
      <c r="E58" s="13" t="s">
        <v>241</v>
      </c>
    </row>
    <row r="59" customFormat="false" ht="17.15" hidden="false" customHeight="false" outlineLevel="0" collapsed="false">
      <c r="A59" s="12" t="s">
        <v>442</v>
      </c>
      <c r="B59" s="13" t="s">
        <v>6</v>
      </c>
      <c r="C59" s="13" t="s">
        <v>307</v>
      </c>
      <c r="D59" s="13" t="s">
        <v>443</v>
      </c>
      <c r="E59" s="13" t="s">
        <v>349</v>
      </c>
    </row>
    <row r="60" customFormat="false" ht="17.15" hidden="false" customHeight="false" outlineLevel="0" collapsed="false">
      <c r="A60" s="12" t="s">
        <v>444</v>
      </c>
      <c r="B60" s="13" t="s">
        <v>6</v>
      </c>
      <c r="C60" s="13" t="s">
        <v>419</v>
      </c>
      <c r="D60" s="13" t="s">
        <v>443</v>
      </c>
      <c r="E60" s="13" t="s">
        <v>393</v>
      </c>
    </row>
    <row r="61" customFormat="false" ht="17.15" hidden="false" customHeight="false" outlineLevel="0" collapsed="false">
      <c r="A61" s="12" t="s">
        <v>125</v>
      </c>
      <c r="B61" s="13" t="s">
        <v>6</v>
      </c>
      <c r="C61" s="13" t="s">
        <v>126</v>
      </c>
      <c r="D61" s="13" t="s">
        <v>445</v>
      </c>
      <c r="E61" s="13" t="s">
        <v>354</v>
      </c>
    </row>
    <row r="62" customFormat="false" ht="17.15" hidden="false" customHeight="false" outlineLevel="0" collapsed="false">
      <c r="A62" s="12" t="s">
        <v>446</v>
      </c>
      <c r="B62" s="13" t="s">
        <v>6</v>
      </c>
      <c r="C62" s="13" t="s">
        <v>196</v>
      </c>
      <c r="D62" s="13" t="s">
        <v>406</v>
      </c>
      <c r="E62" s="13" t="s">
        <v>347</v>
      </c>
    </row>
    <row r="63" customFormat="false" ht="17.15" hidden="false" customHeight="false" outlineLevel="0" collapsed="false">
      <c r="A63" s="12" t="s">
        <v>447</v>
      </c>
      <c r="B63" s="13" t="s">
        <v>6</v>
      </c>
      <c r="C63" s="13" t="s">
        <v>122</v>
      </c>
      <c r="D63" s="13" t="s">
        <v>346</v>
      </c>
      <c r="E63" s="13" t="s">
        <v>448</v>
      </c>
    </row>
    <row r="64" customFormat="false" ht="17.15" hidden="false" customHeight="false" outlineLevel="0" collapsed="false">
      <c r="A64" s="12" t="s">
        <v>449</v>
      </c>
      <c r="B64" s="13" t="s">
        <v>6</v>
      </c>
      <c r="C64" s="13" t="s">
        <v>167</v>
      </c>
      <c r="D64" s="13" t="s">
        <v>450</v>
      </c>
      <c r="E64" s="13" t="s">
        <v>403</v>
      </c>
    </row>
    <row r="65" customFormat="false" ht="17.15" hidden="false" customHeight="false" outlineLevel="0" collapsed="false">
      <c r="A65" s="12" t="s">
        <v>451</v>
      </c>
      <c r="B65" s="13" t="s">
        <v>6</v>
      </c>
      <c r="C65" s="13" t="s">
        <v>307</v>
      </c>
      <c r="D65" s="13" t="s">
        <v>452</v>
      </c>
      <c r="E65" s="13" t="s">
        <v>245</v>
      </c>
    </row>
    <row r="66" customFormat="false" ht="17.15" hidden="false" customHeight="false" outlineLevel="0" collapsed="false">
      <c r="A66" s="12" t="s">
        <v>453</v>
      </c>
      <c r="B66" s="13" t="s">
        <v>6</v>
      </c>
      <c r="C66" s="13" t="s">
        <v>419</v>
      </c>
      <c r="D66" s="13" t="s">
        <v>452</v>
      </c>
      <c r="E66" s="13" t="s">
        <v>347</v>
      </c>
    </row>
    <row r="67" customFormat="false" ht="17.15" hidden="false" customHeight="false" outlineLevel="0" collapsed="false">
      <c r="A67" s="12" t="s">
        <v>454</v>
      </c>
      <c r="B67" s="13" t="s">
        <v>6</v>
      </c>
      <c r="C67" s="13" t="s">
        <v>167</v>
      </c>
      <c r="D67" s="13" t="s">
        <v>455</v>
      </c>
      <c r="E67" s="13" t="s">
        <v>403</v>
      </c>
    </row>
    <row r="68" customFormat="false" ht="17.15" hidden="false" customHeight="false" outlineLevel="0" collapsed="false">
      <c r="A68" s="12" t="s">
        <v>456</v>
      </c>
      <c r="B68" s="13" t="s">
        <v>6</v>
      </c>
      <c r="C68" s="13" t="s">
        <v>126</v>
      </c>
      <c r="D68" s="13" t="s">
        <v>385</v>
      </c>
      <c r="E68" s="13" t="s">
        <v>347</v>
      </c>
    </row>
    <row r="69" customFormat="false" ht="17.15" hidden="false" customHeight="false" outlineLevel="0" collapsed="false">
      <c r="A69" s="12" t="s">
        <v>457</v>
      </c>
      <c r="B69" s="13" t="s">
        <v>6</v>
      </c>
      <c r="C69" s="13" t="s">
        <v>307</v>
      </c>
      <c r="D69" s="12" t="s">
        <v>408</v>
      </c>
      <c r="E69" s="13" t="s">
        <v>448</v>
      </c>
    </row>
    <row r="70" customFormat="false" ht="17.15" hidden="false" customHeight="false" outlineLevel="0" collapsed="false">
      <c r="A70" s="12" t="s">
        <v>458</v>
      </c>
      <c r="B70" s="13" t="s">
        <v>6</v>
      </c>
      <c r="C70" s="13" t="s">
        <v>122</v>
      </c>
      <c r="D70" s="12" t="s">
        <v>410</v>
      </c>
      <c r="E70" s="13" t="s">
        <v>257</v>
      </c>
    </row>
    <row r="71" customFormat="false" ht="17.15" hidden="false" customHeight="false" outlineLevel="0" collapsed="false">
      <c r="A71" s="12" t="s">
        <v>459</v>
      </c>
      <c r="B71" s="13" t="s">
        <v>6</v>
      </c>
      <c r="C71" s="13" t="s">
        <v>307</v>
      </c>
      <c r="D71" s="13" t="s">
        <v>460</v>
      </c>
      <c r="E71" s="13" t="s">
        <v>225</v>
      </c>
    </row>
    <row r="72" customFormat="false" ht="17.15" hidden="false" customHeight="false" outlineLevel="0" collapsed="false">
      <c r="A72" s="12" t="s">
        <v>461</v>
      </c>
      <c r="B72" s="13" t="s">
        <v>6</v>
      </c>
      <c r="C72" s="13" t="s">
        <v>196</v>
      </c>
      <c r="D72" s="13" t="s">
        <v>460</v>
      </c>
      <c r="E72" s="13" t="s">
        <v>383</v>
      </c>
    </row>
    <row r="73" customFormat="false" ht="17.15" hidden="false" customHeight="false" outlineLevel="0" collapsed="false">
      <c r="A73" s="12" t="s">
        <v>462</v>
      </c>
      <c r="B73" s="13" t="s">
        <v>6</v>
      </c>
      <c r="C73" s="13" t="s">
        <v>419</v>
      </c>
      <c r="D73" s="13" t="s">
        <v>463</v>
      </c>
      <c r="E73" s="13" t="s">
        <v>347</v>
      </c>
    </row>
    <row r="74" customFormat="false" ht="17.15" hidden="false" customHeight="false" outlineLevel="0" collapsed="false">
      <c r="A74" s="12" t="s">
        <v>464</v>
      </c>
      <c r="B74" s="13" t="s">
        <v>5</v>
      </c>
      <c r="C74" s="13" t="s">
        <v>130</v>
      </c>
      <c r="D74" s="13" t="s">
        <v>27</v>
      </c>
      <c r="E74" s="13" t="s">
        <v>380</v>
      </c>
    </row>
    <row r="75" customFormat="false" ht="17.15" hidden="false" customHeight="false" outlineLevel="0" collapsed="false">
      <c r="A75" s="12" t="s">
        <v>465</v>
      </c>
      <c r="B75" s="13" t="s">
        <v>5</v>
      </c>
      <c r="C75" s="13" t="s">
        <v>102</v>
      </c>
      <c r="D75" s="13" t="s">
        <v>344</v>
      </c>
      <c r="E75" s="13" t="s">
        <v>380</v>
      </c>
    </row>
    <row r="76" customFormat="false" ht="17.15" hidden="false" customHeight="false" outlineLevel="0" collapsed="false">
      <c r="A76" s="12" t="s">
        <v>466</v>
      </c>
      <c r="B76" s="13" t="s">
        <v>5</v>
      </c>
      <c r="C76" s="13" t="s">
        <v>77</v>
      </c>
      <c r="D76" s="13" t="s">
        <v>346</v>
      </c>
      <c r="E76" s="13" t="s">
        <v>349</v>
      </c>
    </row>
    <row r="77" customFormat="false" ht="17.15" hidden="false" customHeight="false" outlineLevel="0" collapsed="false">
      <c r="A77" s="12" t="s">
        <v>467</v>
      </c>
      <c r="B77" s="13" t="s">
        <v>5</v>
      </c>
      <c r="C77" s="13" t="s">
        <v>98</v>
      </c>
      <c r="D77" s="13" t="s">
        <v>15</v>
      </c>
      <c r="E77" s="13" t="s">
        <v>354</v>
      </c>
    </row>
    <row r="78" customFormat="false" ht="17.15" hidden="false" customHeight="false" outlineLevel="0" collapsed="false">
      <c r="A78" s="12" t="s">
        <v>204</v>
      </c>
      <c r="B78" s="13" t="s">
        <v>5</v>
      </c>
      <c r="C78" s="13" t="s">
        <v>98</v>
      </c>
      <c r="D78" s="13" t="s">
        <v>468</v>
      </c>
      <c r="E78" s="13" t="s">
        <v>229</v>
      </c>
    </row>
    <row r="79" customFormat="false" ht="17.15" hidden="false" customHeight="false" outlineLevel="0" collapsed="false">
      <c r="A79" s="12" t="s">
        <v>469</v>
      </c>
      <c r="B79" s="13" t="s">
        <v>5</v>
      </c>
      <c r="C79" s="13" t="s">
        <v>77</v>
      </c>
      <c r="D79" s="13" t="s">
        <v>355</v>
      </c>
      <c r="E79" s="13" t="s">
        <v>393</v>
      </c>
    </row>
    <row r="80" customFormat="false" ht="17.15" hidden="false" customHeight="false" outlineLevel="0" collapsed="false">
      <c r="A80" s="12" t="s">
        <v>470</v>
      </c>
      <c r="B80" s="13" t="s">
        <v>5</v>
      </c>
      <c r="C80" s="13" t="s">
        <v>130</v>
      </c>
      <c r="D80" s="13" t="s">
        <v>355</v>
      </c>
      <c r="E80" s="13" t="s">
        <v>245</v>
      </c>
    </row>
    <row r="81" customFormat="false" ht="17.15" hidden="false" customHeight="false" outlineLevel="0" collapsed="false">
      <c r="A81" s="12" t="s">
        <v>471</v>
      </c>
      <c r="B81" s="13" t="s">
        <v>5</v>
      </c>
      <c r="C81" s="13" t="s">
        <v>102</v>
      </c>
      <c r="D81" s="13" t="s">
        <v>358</v>
      </c>
      <c r="E81" s="13" t="s">
        <v>401</v>
      </c>
    </row>
    <row r="82" customFormat="false" ht="17.15" hidden="false" customHeight="false" outlineLevel="0" collapsed="false">
      <c r="A82" s="12" t="s">
        <v>472</v>
      </c>
      <c r="B82" s="13" t="s">
        <v>5</v>
      </c>
      <c r="C82" s="13" t="s">
        <v>473</v>
      </c>
      <c r="D82" s="13" t="s">
        <v>360</v>
      </c>
      <c r="E82" s="13" t="s">
        <v>474</v>
      </c>
    </row>
    <row r="83" customFormat="false" ht="17.15" hidden="false" customHeight="false" outlineLevel="0" collapsed="false">
      <c r="A83" s="12" t="s">
        <v>475</v>
      </c>
      <c r="B83" s="13" t="s">
        <v>5</v>
      </c>
      <c r="C83" s="13" t="s">
        <v>473</v>
      </c>
      <c r="D83" s="13" t="s">
        <v>358</v>
      </c>
      <c r="E83" s="13" t="s">
        <v>474</v>
      </c>
    </row>
    <row r="84" customFormat="false" ht="17.15" hidden="false" customHeight="false" outlineLevel="0" collapsed="false">
      <c r="A84" s="12" t="s">
        <v>476</v>
      </c>
      <c r="B84" s="13" t="s">
        <v>5</v>
      </c>
      <c r="C84" s="13" t="s">
        <v>477</v>
      </c>
      <c r="D84" s="13" t="s">
        <v>432</v>
      </c>
      <c r="E84" s="13" t="s">
        <v>391</v>
      </c>
    </row>
    <row r="85" customFormat="false" ht="17.15" hidden="false" customHeight="false" outlineLevel="0" collapsed="false">
      <c r="A85" s="12" t="s">
        <v>313</v>
      </c>
      <c r="B85" s="13" t="s">
        <v>5</v>
      </c>
      <c r="C85" s="13" t="s">
        <v>130</v>
      </c>
      <c r="D85" s="13" t="s">
        <v>432</v>
      </c>
      <c r="E85" s="13" t="s">
        <v>478</v>
      </c>
    </row>
    <row r="86" customFormat="false" ht="17.15" hidden="false" customHeight="false" outlineLevel="0" collapsed="false">
      <c r="A86" s="12" t="s">
        <v>479</v>
      </c>
      <c r="B86" s="13" t="s">
        <v>5</v>
      </c>
      <c r="C86" s="13" t="s">
        <v>477</v>
      </c>
      <c r="D86" s="13" t="s">
        <v>366</v>
      </c>
      <c r="E86" s="13" t="s">
        <v>241</v>
      </c>
    </row>
    <row r="87" customFormat="false" ht="17.15" hidden="false" customHeight="false" outlineLevel="0" collapsed="false">
      <c r="A87" s="12" t="s">
        <v>480</v>
      </c>
      <c r="B87" s="13" t="s">
        <v>5</v>
      </c>
      <c r="C87" s="13" t="s">
        <v>473</v>
      </c>
      <c r="D87" s="13" t="s">
        <v>370</v>
      </c>
      <c r="E87" s="13" t="s">
        <v>413</v>
      </c>
    </row>
    <row r="88" customFormat="false" ht="17.15" hidden="false" customHeight="false" outlineLevel="0" collapsed="false">
      <c r="A88" s="12" t="s">
        <v>481</v>
      </c>
      <c r="B88" s="13" t="s">
        <v>5</v>
      </c>
      <c r="C88" s="13" t="s">
        <v>473</v>
      </c>
      <c r="D88" s="13" t="s">
        <v>371</v>
      </c>
      <c r="E88" s="13" t="s">
        <v>377</v>
      </c>
    </row>
    <row r="89" customFormat="false" ht="17.15" hidden="false" customHeight="false" outlineLevel="0" collapsed="false">
      <c r="A89" s="12" t="s">
        <v>482</v>
      </c>
      <c r="B89" s="13" t="s">
        <v>5</v>
      </c>
      <c r="C89" s="13" t="s">
        <v>477</v>
      </c>
      <c r="D89" s="13" t="s">
        <v>374</v>
      </c>
      <c r="E89" s="13" t="s">
        <v>354</v>
      </c>
    </row>
    <row r="90" customFormat="false" ht="17.15" hidden="false" customHeight="false" outlineLevel="0" collapsed="false">
      <c r="A90" s="12" t="s">
        <v>483</v>
      </c>
      <c r="B90" s="13" t="s">
        <v>5</v>
      </c>
      <c r="C90" s="13" t="s">
        <v>77</v>
      </c>
      <c r="D90" s="13" t="s">
        <v>376</v>
      </c>
      <c r="E90" s="13" t="s">
        <v>383</v>
      </c>
    </row>
    <row r="91" customFormat="false" ht="17.15" hidden="false" customHeight="false" outlineLevel="0" collapsed="false">
      <c r="A91" s="12" t="s">
        <v>484</v>
      </c>
      <c r="B91" s="13" t="s">
        <v>5</v>
      </c>
      <c r="C91" s="13" t="s">
        <v>477</v>
      </c>
      <c r="D91" s="13" t="s">
        <v>379</v>
      </c>
      <c r="E91" s="13" t="s">
        <v>377</v>
      </c>
    </row>
    <row r="92" customFormat="false" ht="17.15" hidden="false" customHeight="false" outlineLevel="0" collapsed="false">
      <c r="A92" s="12" t="s">
        <v>129</v>
      </c>
      <c r="B92" s="13" t="s">
        <v>5</v>
      </c>
      <c r="C92" s="13" t="s">
        <v>130</v>
      </c>
      <c r="D92" s="13" t="s">
        <v>485</v>
      </c>
      <c r="E92" s="13" t="s">
        <v>448</v>
      </c>
    </row>
    <row r="93" customFormat="false" ht="17.15" hidden="false" customHeight="false" outlineLevel="0" collapsed="false">
      <c r="A93" s="12" t="s">
        <v>101</v>
      </c>
      <c r="B93" s="13" t="s">
        <v>5</v>
      </c>
      <c r="C93" s="13" t="s">
        <v>102</v>
      </c>
      <c r="D93" s="13" t="s">
        <v>486</v>
      </c>
      <c r="E93" s="13" t="s">
        <v>422</v>
      </c>
    </row>
    <row r="94" customFormat="false" ht="17.15" hidden="false" customHeight="false" outlineLevel="0" collapsed="false">
      <c r="A94" s="12" t="s">
        <v>133</v>
      </c>
      <c r="B94" s="13" t="s">
        <v>5</v>
      </c>
      <c r="C94" s="13" t="s">
        <v>98</v>
      </c>
      <c r="D94" s="13" t="s">
        <v>487</v>
      </c>
      <c r="E94" s="13" t="s">
        <v>386</v>
      </c>
    </row>
    <row r="95" customFormat="false" ht="17.15" hidden="false" customHeight="false" outlineLevel="0" collapsed="false">
      <c r="A95" s="12" t="s">
        <v>488</v>
      </c>
      <c r="B95" s="13" t="s">
        <v>5</v>
      </c>
      <c r="C95" s="13" t="s">
        <v>98</v>
      </c>
      <c r="D95" s="13" t="s">
        <v>489</v>
      </c>
      <c r="E95" s="13" t="s">
        <v>386</v>
      </c>
    </row>
    <row r="96" customFormat="false" ht="17.15" hidden="false" customHeight="false" outlineLevel="0" collapsed="false">
      <c r="A96" s="12" t="s">
        <v>490</v>
      </c>
      <c r="B96" s="13" t="s">
        <v>5</v>
      </c>
      <c r="C96" s="13" t="s">
        <v>98</v>
      </c>
      <c r="D96" s="13" t="s">
        <v>489</v>
      </c>
      <c r="E96" s="13" t="s">
        <v>422</v>
      </c>
    </row>
    <row r="97" customFormat="false" ht="17.15" hidden="false" customHeight="false" outlineLevel="0" collapsed="false">
      <c r="A97" s="12" t="s">
        <v>491</v>
      </c>
      <c r="B97" s="13" t="s">
        <v>5</v>
      </c>
      <c r="C97" s="13" t="s">
        <v>77</v>
      </c>
      <c r="D97" s="13" t="s">
        <v>406</v>
      </c>
      <c r="E97" s="13" t="s">
        <v>245</v>
      </c>
    </row>
    <row r="98" customFormat="false" ht="17.15" hidden="false" customHeight="false" outlineLevel="0" collapsed="false">
      <c r="A98" s="12" t="s">
        <v>492</v>
      </c>
      <c r="B98" s="13" t="s">
        <v>5</v>
      </c>
      <c r="C98" s="13" t="s">
        <v>130</v>
      </c>
      <c r="D98" s="13" t="s">
        <v>455</v>
      </c>
      <c r="E98" s="13" t="s">
        <v>417</v>
      </c>
    </row>
    <row r="99" customFormat="false" ht="17.15" hidden="false" customHeight="false" outlineLevel="0" collapsed="false">
      <c r="A99" s="12" t="s">
        <v>493</v>
      </c>
      <c r="B99" s="13" t="s">
        <v>5</v>
      </c>
      <c r="C99" s="13" t="s">
        <v>77</v>
      </c>
      <c r="D99" s="13" t="s">
        <v>376</v>
      </c>
      <c r="E99" s="13" t="s">
        <v>474</v>
      </c>
    </row>
    <row r="100" customFormat="false" ht="17.15" hidden="false" customHeight="false" outlineLevel="0" collapsed="false">
      <c r="A100" s="12" t="s">
        <v>494</v>
      </c>
      <c r="B100" s="13" t="s">
        <v>5</v>
      </c>
      <c r="C100" s="13" t="s">
        <v>473</v>
      </c>
      <c r="D100" s="13" t="s">
        <v>15</v>
      </c>
      <c r="E100" s="13" t="s">
        <v>349</v>
      </c>
    </row>
    <row r="101" customFormat="false" ht="17.15" hidden="false" customHeight="false" outlineLevel="0" collapsed="false">
      <c r="A101" s="12" t="s">
        <v>495</v>
      </c>
      <c r="B101" s="13" t="s">
        <v>5</v>
      </c>
      <c r="C101" s="13" t="s">
        <v>477</v>
      </c>
      <c r="D101" s="13" t="s">
        <v>450</v>
      </c>
      <c r="E101" s="13" t="s">
        <v>396</v>
      </c>
    </row>
    <row r="102" customFormat="false" ht="17.15" hidden="false" customHeight="false" outlineLevel="0" collapsed="false">
      <c r="A102" s="12" t="s">
        <v>496</v>
      </c>
      <c r="B102" s="13" t="s">
        <v>5</v>
      </c>
      <c r="C102" s="13" t="s">
        <v>102</v>
      </c>
      <c r="D102" s="13" t="s">
        <v>452</v>
      </c>
      <c r="E102" s="13" t="s">
        <v>393</v>
      </c>
    </row>
    <row r="103" customFormat="false" ht="17.15" hidden="false" customHeight="false" outlineLevel="0" collapsed="false">
      <c r="A103" s="12" t="s">
        <v>497</v>
      </c>
      <c r="B103" s="13" t="s">
        <v>5</v>
      </c>
      <c r="C103" s="13" t="s">
        <v>130</v>
      </c>
      <c r="D103" s="13" t="s">
        <v>385</v>
      </c>
      <c r="E103" s="13" t="s">
        <v>363</v>
      </c>
    </row>
    <row r="104" customFormat="false" ht="17.15" hidden="false" customHeight="false" outlineLevel="0" collapsed="false">
      <c r="A104" s="12" t="s">
        <v>498</v>
      </c>
      <c r="B104" s="13" t="s">
        <v>5</v>
      </c>
      <c r="C104" s="13" t="s">
        <v>98</v>
      </c>
      <c r="D104" s="13" t="s">
        <v>406</v>
      </c>
      <c r="E104" s="12" t="s">
        <v>368</v>
      </c>
    </row>
    <row r="105" customFormat="false" ht="17.15" hidden="false" customHeight="false" outlineLevel="0" collapsed="false">
      <c r="A105" s="12" t="s">
        <v>76</v>
      </c>
      <c r="B105" s="13" t="s">
        <v>5</v>
      </c>
      <c r="C105" s="13" t="s">
        <v>77</v>
      </c>
      <c r="D105" s="13" t="s">
        <v>499</v>
      </c>
      <c r="E105" s="13" t="s">
        <v>237</v>
      </c>
    </row>
    <row r="106" customFormat="false" ht="17.15" hidden="false" customHeight="false" outlineLevel="0" collapsed="false">
      <c r="A106" s="12" t="s">
        <v>500</v>
      </c>
      <c r="B106" s="13" t="s">
        <v>5</v>
      </c>
      <c r="C106" s="13" t="s">
        <v>477</v>
      </c>
      <c r="D106" s="13" t="s">
        <v>412</v>
      </c>
      <c r="E106" s="13" t="s">
        <v>347</v>
      </c>
    </row>
    <row r="107" customFormat="false" ht="17.15" hidden="false" customHeight="false" outlineLevel="0" collapsed="false">
      <c r="A107" s="12" t="s">
        <v>501</v>
      </c>
      <c r="B107" s="13" t="s">
        <v>5</v>
      </c>
      <c r="C107" s="13" t="s">
        <v>102</v>
      </c>
      <c r="D107" s="13" t="s">
        <v>502</v>
      </c>
      <c r="E107" s="13" t="s">
        <v>396</v>
      </c>
    </row>
    <row r="108" customFormat="false" ht="17.15" hidden="false" customHeight="false" outlineLevel="0" collapsed="false">
      <c r="A108" s="12" t="s">
        <v>503</v>
      </c>
      <c r="B108" s="13" t="s">
        <v>5</v>
      </c>
      <c r="C108" s="13" t="s">
        <v>98</v>
      </c>
      <c r="D108" s="13" t="s">
        <v>502</v>
      </c>
      <c r="E108" s="13" t="s">
        <v>377</v>
      </c>
    </row>
    <row r="109" customFormat="false" ht="17.15" hidden="false" customHeight="false" outlineLevel="0" collapsed="false">
      <c r="A109" s="12" t="s">
        <v>504</v>
      </c>
      <c r="B109" s="13" t="s">
        <v>5</v>
      </c>
      <c r="C109" s="13" t="s">
        <v>130</v>
      </c>
      <c r="D109" s="13" t="s">
        <v>463</v>
      </c>
      <c r="E109" s="13" t="s">
        <v>229</v>
      </c>
    </row>
  </sheetData>
  <autoFilter ref="A1:E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2026-10-30T00:32:38Z</dcterms:created>
  <dc:creator>openpyxl</dc:creator>
  <dc:description/>
  <dc:language>en-US</dc:language>
  <cp:lastModifiedBy/>
  <dcterms:modified xsi:type="dcterms:W3CDTF">2026-10-30T00:32:38Z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